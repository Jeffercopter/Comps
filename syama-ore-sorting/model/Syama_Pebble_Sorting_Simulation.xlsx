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B Base" sheetId="2" state="visible" r:id="rId2"/>
    <sheet name="MB Sort" sheetId="3" state="visible" r:id="rId3"/>
    <sheet name="NPV" sheetId="4" state="visible" r:id="rId4"/>
    <sheet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0.0000"/>
    <numFmt numFmtId="167" formatCode="0.0"/>
    <numFmt numFmtId="168" formatCode="#,##0.000"/>
    <numFmt numFmtId="169" formatCode="#,##0.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  <font>
      <i val="1"/>
      <color rgb="00595959"/>
      <sz val="9"/>
    </font>
    <font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0" borderId="1" pivotButton="0" quotePrefix="0" xfId="0"/>
    <xf numFmtId="168" fontId="3" fillId="0" borderId="1" pivotButton="0" quotePrefix="0" xfId="0"/>
    <xf numFmtId="0" fontId="3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64" fontId="3" fillId="0" borderId="1" pivotButton="0" quotePrefix="0" xfId="0"/>
    <xf numFmtId="169" fontId="3" fillId="0" borderId="1" pivotButton="0" quotePrefix="0" xfId="0"/>
    <xf numFmtId="165" fontId="3" fillId="0" borderId="1" pivotButton="0" quotePrefix="0" xfId="0"/>
    <xf numFmtId="166" fontId="3" fillId="5" borderId="1" pivotButton="0" quotePrefix="0" xfId="0"/>
    <xf numFmtId="0" fontId="6" fillId="0" borderId="1" pivotButton="0" quotePrefix="0" xfId="0"/>
    <xf numFmtId="2" fontId="3" fillId="5" borderId="1" pivotButton="0" quotePrefix="0" xfId="0"/>
    <xf numFmtId="164" fontId="3" fillId="5" borderId="1" pivotButton="0" quotePrefix="0" xfId="0"/>
    <xf numFmtId="3" fontId="2" fillId="6" borderId="1" pivotButton="0" quotePrefix="0" xfId="0"/>
    <xf numFmtId="1" fontId="3" fillId="0" borderId="1" pivotButton="0" quotePrefix="0" xfId="0"/>
    <xf numFmtId="164" fontId="2" fillId="6" borderId="1" pivotButton="0" quotePrefix="0" xfId="0"/>
    <xf numFmtId="167" fontId="2" fillId="6" borderId="1" pivotButton="0" quotePrefix="0" xfId="0"/>
    <xf numFmtId="167" fontId="3" fillId="5" borderId="1" pivotButton="0" quotePrefix="0" xfId="0"/>
    <xf numFmtId="167" fontId="3" fillId="0" borderId="1" pivotButton="0" quotePrefix="0" xfId="0"/>
    <xf numFmtId="166" fontId="3" fillId="0" borderId="1" pivotButton="0" quotePrefix="0" xfId="0"/>
    <xf numFmtId="168" fontId="3" fillId="4" borderId="1" pivotButton="0" quotePrefix="0" xfId="0"/>
    <xf numFmtId="164" fontId="3" fillId="4" borderId="1" pivotButton="0" quotePrefix="0" xfId="0"/>
    <xf numFmtId="0" fontId="2" fillId="4" borderId="0" pivotButton="0" quotePrefix="0" xfId="0"/>
    <xf numFmtId="0" fontId="2" fillId="7" borderId="1" pivotButton="0" quotePrefix="0" xfId="0"/>
    <xf numFmtId="168" fontId="3" fillId="6" borderId="1" pivotButton="0" quotePrefix="0" xfId="0"/>
    <xf numFmtId="164" fontId="3" fillId="6" borderId="1" pivotButton="0" quotePrefix="0" xfId="0"/>
    <xf numFmtId="168" fontId="3" fillId="5" borderId="1" pivotButton="0" quotePrefix="0" xfId="0"/>
    <xf numFmtId="4" fontId="3" fillId="0" borderId="1" pivotButton="0" quotePrefix="0" xfId="0"/>
    <xf numFmtId="1" fontId="3" fillId="0" borderId="1" applyAlignment="1" pivotButton="0" quotePrefix="0" xfId="0">
      <alignment horizontal="center"/>
    </xf>
    <xf numFmtId="0" fontId="5" fillId="0" borderId="0" pivotButton="0" quotePrefix="0" xfId="0"/>
    <xf numFmtId="0" fontId="3" fillId="0" borderId="1" applyAlignment="1" pivotButton="0" quotePrefix="0" xfId="0">
      <alignment horizontal="center"/>
    </xf>
    <xf numFmtId="3" fontId="3" fillId="8" borderId="1" pivotButton="0" quotePrefix="0" xfId="0"/>
    <xf numFmtId="3" fontId="3" fillId="6" borderId="1" pivotButton="0" quotePrefix="0" xfId="0"/>
    <xf numFmtId="165" fontId="3" fillId="0" borderId="1" applyAlignment="1" pivotButton="0" quotePrefix="0" xfId="0">
      <alignment horizontal="center"/>
    </xf>
    <xf numFmtId="165" fontId="3" fillId="6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cash flow ($)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'NPV'!$D$12:$DS$12</f>
            </numRef>
          </cat>
          <val>
            <numRef>
              <f>'NPV'!$D$14:$DS$14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2" customWidth="1" min="3" max="3"/>
    <col width="8" customWidth="1" min="4" max="4"/>
    <col width="2" customWidth="1" min="5" max="5"/>
    <col width="46" customWidth="1" min="6" max="6"/>
    <col width="19" customWidth="1" min="7" max="7"/>
    <col width="2" customWidth="1" min="8" max="8"/>
    <col width="31" customWidth="1" min="9" max="9"/>
    <col width="12" customWidth="1" min="10" max="10"/>
    <col width="12" customWidth="1" min="11" max="11"/>
    <col width="11" customWidth="1" min="12" max="12"/>
    <col width="8" customWidth="1" min="13" max="13"/>
    <col width="32" customWidth="1" min="14" max="14"/>
  </cols>
  <sheetData>
    <row r="1">
      <c r="A1" s="1" t="inlineStr">
        <is>
          <t xml:space="preserve">  SYAMA GOLD  |  SAG PEBBLE (SCAT) SORTING  |  BUSINESS CASE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2" t="inlineStr">
        <is>
          <t>Project:</t>
        </is>
      </c>
      <c r="B2" s="3" t="inlineStr">
        <is>
          <t>Syama Sulphide Conversion Project - converted (ex-oxide) SAG line</t>
        </is>
      </c>
    </row>
    <row r="3">
      <c r="A3" s="2" t="inlineStr">
        <is>
          <t>Basis:</t>
        </is>
      </c>
      <c r="B3" s="3" t="inlineStr">
        <is>
          <t>STEINERT model SR241558 (Sukari) re-parameterised for Syama</t>
        </is>
      </c>
    </row>
    <row r="4">
      <c r="A4" s="2" t="inlineStr">
        <is>
          <t>Date:</t>
        </is>
      </c>
      <c r="B4" s="3" t="inlineStr">
        <is>
          <t>2026-08-05</t>
        </is>
      </c>
    </row>
    <row r="6">
      <c r="B6" s="4" t="inlineStr">
        <is>
          <t xml:space="preserve">  INPUTS</t>
        </is>
      </c>
      <c r="C6" s="4" t="n"/>
      <c r="D6" s="4" t="n"/>
      <c r="E6" s="4" t="n"/>
      <c r="F6" s="4" t="n"/>
      <c r="G6" s="4" t="n"/>
      <c r="I6" s="4" t="inlineStr">
        <is>
          <t xml:space="preserve">  OUTPUTS</t>
        </is>
      </c>
      <c r="J6" s="4" t="n"/>
      <c r="K6" s="4" t="n"/>
      <c r="L6" s="4" t="n"/>
      <c r="M6" s="4" t="n"/>
      <c r="N6" s="4" t="n"/>
    </row>
    <row r="7">
      <c r="B7" s="5" t="inlineStr">
        <is>
          <t>Parameter</t>
        </is>
      </c>
      <c r="C7" s="5" t="inlineStr">
        <is>
          <t>Value</t>
        </is>
      </c>
      <c r="D7" s="5" t="inlineStr">
        <is>
          <t>Unit</t>
        </is>
      </c>
      <c r="F7" s="5" t="inlineStr">
        <is>
          <t>Basis / source</t>
        </is>
      </c>
      <c r="G7" s="5" t="inlineStr">
        <is>
          <t>Confidence</t>
        </is>
      </c>
      <c r="I7" s="5" t="inlineStr">
        <is>
          <t>Parameter</t>
        </is>
      </c>
      <c r="J7" s="6" t="inlineStr">
        <is>
          <t>BASE</t>
        </is>
      </c>
      <c r="K7" s="6" t="inlineStr">
        <is>
          <t>SORTING</t>
        </is>
      </c>
      <c r="L7" s="6" t="inlineStr">
        <is>
          <t>DIFF</t>
        </is>
      </c>
      <c r="M7" s="5" t="inlineStr">
        <is>
          <t>Unit</t>
        </is>
      </c>
      <c r="N7" s="5" t="inlineStr">
        <is>
          <t>Comment</t>
        </is>
      </c>
    </row>
    <row r="9">
      <c r="A9" s="4" t="inlineStr">
        <is>
          <t xml:space="preserve">  OPERATION</t>
        </is>
      </c>
      <c r="B9" s="4" t="n"/>
      <c r="C9" s="4" t="n"/>
      <c r="D9" s="4" t="n"/>
      <c r="E9" s="4" t="n"/>
      <c r="F9" s="4" t="n"/>
      <c r="G9" s="4" t="n"/>
      <c r="I9" s="7" t="inlineStr">
        <is>
          <t>ROM feed rate</t>
        </is>
      </c>
      <c r="J9" s="8">
        <f>C10</f>
        <v/>
      </c>
      <c r="K9" s="8">
        <f>'MB Sort'!G5</f>
        <v/>
      </c>
      <c r="L9" s="8">
        <f>K9-J9</f>
        <v/>
      </c>
      <c r="M9" s="9" t="inlineStr">
        <is>
          <t>t/h</t>
        </is>
      </c>
      <c r="N9" s="10" t="inlineStr">
        <is>
          <t>uplift from rejecting scat mass</t>
        </is>
      </c>
    </row>
    <row r="10">
      <c r="B10" s="7" t="inlineStr">
        <is>
          <t>New feed to SAG line</t>
        </is>
      </c>
      <c r="C10" s="11" t="n">
        <v>200</v>
      </c>
      <c r="D10" s="9" t="inlineStr">
        <is>
          <t>t/h</t>
        </is>
      </c>
      <c r="F10" s="10" t="inlineStr">
        <is>
          <t>1.58 Mtpa - the SSCP increment (2.4 -&gt; 4.0 Mtpa)</t>
        </is>
      </c>
      <c r="G10" s="10" t="inlineStr">
        <is>
          <t>Assumption - CONFIRM</t>
        </is>
      </c>
      <c r="I10" s="7" t="inlineStr">
        <is>
          <t>ROM grade</t>
        </is>
      </c>
      <c r="J10" s="8">
        <f>'MB Base'!H5</f>
        <v/>
      </c>
      <c r="K10" s="8">
        <f>'MB Sort'!H5</f>
        <v/>
      </c>
      <c r="L10" s="8">
        <f>K10-J10</f>
        <v/>
      </c>
      <c r="M10" s="9" t="inlineStr">
        <is>
          <t>g/t</t>
        </is>
      </c>
      <c r="N10" s="10" t="inlineStr"/>
    </row>
    <row r="11">
      <c r="B11" s="7" t="inlineStr">
        <is>
          <t>Annual operating hours</t>
        </is>
      </c>
      <c r="C11" s="11" t="n">
        <v>7884</v>
      </c>
      <c r="D11" s="9" t="inlineStr">
        <is>
          <t>h/a</t>
        </is>
      </c>
      <c r="F11" s="10" t="inlineStr">
        <is>
          <t>90% availability</t>
        </is>
      </c>
      <c r="G11" s="10" t="inlineStr">
        <is>
          <t>Assumption</t>
        </is>
      </c>
      <c r="I11" s="7" t="inlineStr">
        <is>
          <t>SAG mill total load</t>
        </is>
      </c>
      <c r="J11" s="8">
        <f>'MB Base'!G99</f>
        <v/>
      </c>
      <c r="K11" s="8">
        <f>'MB Sort'!G99</f>
        <v/>
      </c>
      <c r="L11" s="8">
        <f>K11-J11</f>
        <v/>
      </c>
      <c r="M11" s="9" t="inlineStr">
        <is>
          <t>t/h</t>
        </is>
      </c>
      <c r="N11" s="10" t="inlineStr">
        <is>
          <t>new feed + circulating scats</t>
        </is>
      </c>
    </row>
    <row r="12">
      <c r="B12" s="7" t="inlineStr">
        <is>
          <t>ROM grade (diluted)</t>
        </is>
      </c>
      <c r="C12" s="12" t="n">
        <v>2.4</v>
      </c>
      <c r="D12" s="9" t="inlineStr">
        <is>
          <t>g/t</t>
        </is>
      </c>
      <c r="F12" s="10" t="inlineStr">
        <is>
          <t>2026 UG plan 2.4-2.5 g/t Au</t>
        </is>
      </c>
      <c r="G12" s="10" t="inlineStr">
        <is>
          <t>Resolute guidance</t>
        </is>
      </c>
      <c r="I12" s="7" t="inlineStr">
        <is>
          <t>Scat / sorter feed</t>
        </is>
      </c>
      <c r="J12" s="8">
        <f>'MB Base'!G106</f>
        <v/>
      </c>
      <c r="K12" s="8">
        <f>'MB Sort'!G106</f>
        <v/>
      </c>
      <c r="L12" s="8">
        <f>K12-J12</f>
        <v/>
      </c>
      <c r="M12" s="9" t="inlineStr">
        <is>
          <t>t/h</t>
        </is>
      </c>
      <c r="N12" s="10" t="inlineStr"/>
    </row>
    <row r="13">
      <c r="B13" s="7" t="inlineStr">
        <is>
          <t>Gold recovery (flot+roast+CIL)</t>
        </is>
      </c>
      <c r="C13" s="13" t="n">
        <v>0.75</v>
      </c>
      <c r="D13" s="9" t="inlineStr">
        <is>
          <t>-</t>
        </is>
      </c>
      <c r="F13" s="10" t="inlineStr">
        <is>
          <t>FY25 sulphide 75%, Q2-25 76%</t>
        </is>
      </c>
      <c r="G13" s="10" t="inlineStr">
        <is>
          <t>Resolute actual</t>
        </is>
      </c>
      <c r="I13" s="7" t="inlineStr">
        <is>
          <t>Scat grade</t>
        </is>
      </c>
      <c r="J13" s="8">
        <f>'MB Base'!H106</f>
        <v/>
      </c>
      <c r="K13" s="8">
        <f>'MB Sort'!H106</f>
        <v/>
      </c>
      <c r="L13" s="8">
        <f>K13-J13</f>
        <v/>
      </c>
      <c r="M13" s="9" t="inlineStr">
        <is>
          <t>g/t</t>
        </is>
      </c>
      <c r="N13" s="10" t="inlineStr">
        <is>
          <t>measured = 2.00 g/t</t>
        </is>
      </c>
    </row>
    <row r="14">
      <c r="B14" s="7" t="inlineStr">
        <is>
          <t>Gold price</t>
        </is>
      </c>
      <c r="C14" s="11" t="n">
        <v>4000</v>
      </c>
      <c r="D14" s="9" t="inlineStr">
        <is>
          <t>$/oz</t>
        </is>
      </c>
      <c r="F14" s="10" t="inlineStr">
        <is>
          <t>Resolute 2026 planning assumption</t>
        </is>
      </c>
      <c r="G14" s="10" t="inlineStr">
        <is>
          <t>Resolute</t>
        </is>
      </c>
      <c r="I14" s="7" t="inlineStr">
        <is>
          <t>Sorter rejects</t>
        </is>
      </c>
      <c r="J14" s="8">
        <f>'MB Base'!G107</f>
        <v/>
      </c>
      <c r="K14" s="8">
        <f>'MB Sort'!G107</f>
        <v/>
      </c>
      <c r="L14" s="8">
        <f>K14-J14</f>
        <v/>
      </c>
      <c r="M14" s="9" t="inlineStr">
        <is>
          <t>t/h</t>
        </is>
      </c>
      <c r="N14" s="10" t="inlineStr">
        <is>
          <t>to waste dump</t>
        </is>
      </c>
    </row>
    <row r="15">
      <c r="B15" s="7" t="inlineStr">
        <is>
          <t>Gold price</t>
        </is>
      </c>
      <c r="C15" s="12">
        <f>C14/31.1035</f>
        <v/>
      </c>
      <c r="D15" s="9" t="inlineStr">
        <is>
          <t>$/g</t>
        </is>
      </c>
      <c r="F15" s="10" t="inlineStr">
        <is>
          <t>gold price / 31.1035</t>
        </is>
      </c>
      <c r="G15" s="10" t="inlineStr">
        <is>
          <t>Calculated</t>
        </is>
      </c>
      <c r="I15" s="7" t="inlineStr">
        <is>
          <t>Reject grade</t>
        </is>
      </c>
      <c r="J15" s="8">
        <f>'MB Base'!H107</f>
        <v/>
      </c>
      <c r="K15" s="8">
        <f>'MB Sort'!H107</f>
        <v/>
      </c>
      <c r="L15" s="8">
        <f>K15-J15</f>
        <v/>
      </c>
      <c r="M15" s="9" t="inlineStr">
        <is>
          <t>g/t</t>
        </is>
      </c>
      <c r="N15" s="10" t="inlineStr">
        <is>
          <t>gold discarded</t>
        </is>
      </c>
    </row>
    <row r="16">
      <c r="B16" s="7" t="inlineStr">
        <is>
          <t>Discount rate</t>
        </is>
      </c>
      <c r="C16" s="13" t="n">
        <v>0.1</v>
      </c>
      <c r="D16" s="9" t="inlineStr">
        <is>
          <t>-</t>
        </is>
      </c>
      <c r="F16" s="10" t="inlineStr">
        <is>
          <t>8% base + Mali country-risk premium</t>
        </is>
      </c>
      <c r="G16" s="10" t="inlineStr">
        <is>
          <t>Assumption</t>
        </is>
      </c>
      <c r="I16" s="7" t="inlineStr">
        <is>
          <t>Mass pull to rejects</t>
        </is>
      </c>
      <c r="J16" s="13">
        <f>IFERROR('MB Base'!G107/'MB Base'!G106,0)</f>
        <v/>
      </c>
      <c r="K16" s="13">
        <f>IFERROR('MB Sort'!G107/'MB Sort'!G106,0)</f>
        <v/>
      </c>
      <c r="L16" s="13">
        <f>K16-J16</f>
        <v/>
      </c>
      <c r="M16" s="9" t="inlineStr">
        <is>
          <t>-</t>
        </is>
      </c>
      <c r="N16" s="10" t="inlineStr">
        <is>
          <t>of the scat stream</t>
        </is>
      </c>
    </row>
    <row r="17">
      <c r="A17" s="4" t="inlineStr">
        <is>
          <t xml:space="preserve">  COSTS</t>
        </is>
      </c>
      <c r="B17" s="4" t="n"/>
      <c r="C17" s="4" t="n"/>
      <c r="D17" s="4" t="n"/>
      <c r="E17" s="4" t="n"/>
      <c r="F17" s="4" t="n"/>
      <c r="G17" s="4" t="n"/>
      <c r="I17" s="7" t="inlineStr">
        <is>
          <t>Ball-mill / leach feed</t>
        </is>
      </c>
      <c r="J17" s="8">
        <f>'MB Base'!G104</f>
        <v/>
      </c>
      <c r="K17" s="8">
        <f>'MB Sort'!G104</f>
        <v/>
      </c>
      <c r="L17" s="8">
        <f>K17-J17</f>
        <v/>
      </c>
      <c r="M17" s="9" t="inlineStr">
        <is>
          <t>t/h</t>
        </is>
      </c>
      <c r="N17" s="10" t="inlineStr">
        <is>
          <t>HELD CONSTANT (Goal Seek)</t>
        </is>
      </c>
    </row>
    <row r="18">
      <c r="B18" s="7" t="inlineStr">
        <is>
          <t>Milling cost avoided</t>
        </is>
      </c>
      <c r="C18" s="12" t="n">
        <v>8</v>
      </c>
      <c r="D18" s="9" t="inlineStr">
        <is>
          <t>$/t</t>
        </is>
      </c>
      <c r="F18" s="10" t="inlineStr">
        <is>
          <t>power + media + reagents (Sukari used 7.69)</t>
        </is>
      </c>
      <c r="G18" s="10" t="inlineStr">
        <is>
          <t>Assumption - CONFIRM</t>
        </is>
      </c>
      <c r="I18" s="7" t="inlineStr">
        <is>
          <t>Leach feed grade</t>
        </is>
      </c>
      <c r="J18" s="8">
        <f>'MB Base'!H104</f>
        <v/>
      </c>
      <c r="K18" s="8">
        <f>'MB Sort'!H104</f>
        <v/>
      </c>
      <c r="L18" s="8">
        <f>K18-J18</f>
        <v/>
      </c>
      <c r="M18" s="9" t="inlineStr">
        <is>
          <t>g/t</t>
        </is>
      </c>
      <c r="N18" s="10" t="inlineStr">
        <is>
          <t>the uplift</t>
        </is>
      </c>
    </row>
    <row r="19">
      <c r="B19" s="7" t="inlineStr">
        <is>
          <t>Incremental UG mining cost</t>
        </is>
      </c>
      <c r="C19" s="12" t="n">
        <v>53</v>
      </c>
      <c r="D19" s="9" t="inlineStr">
        <is>
          <t>$/t</t>
        </is>
      </c>
      <c r="F19" s="10" t="inlineStr">
        <is>
          <t>~45% of AISC $2,050/oz at 1.8 g/t recovered</t>
        </is>
      </c>
      <c r="G19" s="10" t="inlineStr">
        <is>
          <t>Derived - CONFIRM</t>
        </is>
      </c>
      <c r="I19" s="7" t="inlineStr">
        <is>
          <t>Au to leach</t>
        </is>
      </c>
      <c r="J19" s="8">
        <f>'MB Base'!I104</f>
        <v/>
      </c>
      <c r="K19" s="8">
        <f>'MB Sort'!I104</f>
        <v/>
      </c>
      <c r="L19" s="8">
        <f>K19-J19</f>
        <v/>
      </c>
      <c r="M19" s="9" t="inlineStr">
        <is>
          <t>g/h</t>
        </is>
      </c>
      <c r="N19" s="10" t="inlineStr"/>
    </row>
    <row r="20">
      <c r="B20" s="7" t="inlineStr">
        <is>
          <t>Reject rehandle + dump</t>
        </is>
      </c>
      <c r="C20" s="12" t="n">
        <v>2.5</v>
      </c>
      <c r="D20" s="9" t="inlineStr">
        <is>
          <t>$/t</t>
        </is>
      </c>
      <c r="F20" s="10" t="inlineStr"/>
      <c r="G20" s="10" t="inlineStr">
        <is>
          <t>Assumption</t>
        </is>
      </c>
      <c r="I20" s="7" t="inlineStr">
        <is>
          <t>Au production</t>
        </is>
      </c>
      <c r="J20" s="11">
        <f>J19*$C$13*$C$11/31.1035</f>
        <v/>
      </c>
      <c r="K20" s="11">
        <f>K19*$C$13*$C$11/31.1035</f>
        <v/>
      </c>
      <c r="L20" s="11">
        <f>K20-J20</f>
        <v/>
      </c>
      <c r="M20" s="9" t="inlineStr">
        <is>
          <t>oz/a</t>
        </is>
      </c>
      <c r="N20" s="10" t="inlineStr"/>
    </row>
    <row r="21">
      <c r="B21" s="7" t="inlineStr">
        <is>
          <t>Sorting OPEX</t>
        </is>
      </c>
      <c r="C21" s="12" t="n">
        <v>0.45</v>
      </c>
      <c r="D21" s="9" t="inlineStr">
        <is>
          <t>$/t</t>
        </is>
      </c>
      <c r="F21" s="10" t="inlineStr">
        <is>
          <t>STEINERT template ($15/50 t/h + $0.15)</t>
        </is>
      </c>
      <c r="G21" s="10" t="inlineStr">
        <is>
          <t>Vendor benchmark</t>
        </is>
      </c>
    </row>
    <row r="22">
      <c r="A22" s="4" t="inlineStr">
        <is>
          <t xml:space="preserve">  MATERIAL PROPERTY</t>
        </is>
      </c>
      <c r="B22" s="4" t="n"/>
      <c r="C22" s="4" t="n"/>
      <c r="D22" s="4" t="n"/>
      <c r="E22" s="4" t="n"/>
      <c r="F22" s="4" t="n"/>
      <c r="G22" s="4" t="n"/>
      <c r="I22" s="4" t="inlineStr">
        <is>
          <t xml:space="preserve">  ECONOMICS   (sorting case less base case)</t>
        </is>
      </c>
      <c r="J22" s="4" t="n"/>
      <c r="K22" s="4" t="n"/>
      <c r="L22" s="4" t="n"/>
      <c r="M22" s="4" t="n"/>
      <c r="N22" s="4" t="n"/>
    </row>
    <row r="23">
      <c r="B23" s="7" t="inlineStr">
        <is>
          <t>Waste dilution (SLC)</t>
        </is>
      </c>
      <c r="C23" s="13" t="n">
        <v>0.2</v>
      </c>
      <c r="D23" s="9" t="inlineStr">
        <is>
          <t>-</t>
        </is>
      </c>
      <c r="F23" s="10" t="inlineStr">
        <is>
          <t>sublevel cave, typical 15-25%</t>
        </is>
      </c>
      <c r="G23" s="10" t="inlineStr">
        <is>
          <t>Assumption - CONFIRM</t>
        </is>
      </c>
      <c r="I23" s="7" t="inlineStr">
        <is>
          <t>Incremental gold to leach</t>
        </is>
      </c>
      <c r="K23" s="14">
        <f>L19</f>
        <v/>
      </c>
      <c r="M23" s="9" t="inlineStr">
        <is>
          <t>g/h</t>
        </is>
      </c>
    </row>
    <row r="24">
      <c r="B24" s="7" t="inlineStr">
        <is>
          <t>Undiluted ore grade</t>
        </is>
      </c>
      <c r="C24" s="15">
        <f>C12/(1-C23)</f>
        <v/>
      </c>
      <c r="D24" s="9" t="inlineStr">
        <is>
          <t>g/t</t>
        </is>
      </c>
      <c r="F24" s="10" t="inlineStr">
        <is>
          <t>ROM grade / (1 - dilution)</t>
        </is>
      </c>
      <c r="G24" s="10" t="inlineStr">
        <is>
          <t>Calculated</t>
        </is>
      </c>
      <c r="I24" s="7" t="inlineStr">
        <is>
          <t>Incremental gold recovered</t>
        </is>
      </c>
      <c r="K24" s="11">
        <f>L20</f>
        <v/>
      </c>
      <c r="M24" s="9" t="inlineStr">
        <is>
          <t>oz/a</t>
        </is>
      </c>
    </row>
    <row r="25">
      <c r="B25" s="7" t="inlineStr">
        <is>
          <t>Mass yield ore -&gt; scats</t>
        </is>
      </c>
      <c r="C25" s="16" t="n">
        <v>0.1111</v>
      </c>
      <c r="D25" s="9" t="inlineStr">
        <is>
          <t>-</t>
        </is>
      </c>
      <c r="F25" s="10" t="inlineStr">
        <is>
          <t>calibrated to the measured scat stream</t>
        </is>
      </c>
      <c r="G25" s="10" t="inlineStr">
        <is>
          <t>Calibrated</t>
        </is>
      </c>
      <c r="I25" s="7" t="inlineStr">
        <is>
          <t>Revenue gain</t>
        </is>
      </c>
      <c r="K25" s="11">
        <f>L19*C13*C15</f>
        <v/>
      </c>
      <c r="M25" s="9" t="inlineStr">
        <is>
          <t>$/h</t>
        </is>
      </c>
    </row>
    <row r="26">
      <c r="B26" s="7" t="inlineStr">
        <is>
          <t>Mass yield waste -&gt; scats</t>
        </is>
      </c>
      <c r="C26" s="16" t="n">
        <v>0.2</v>
      </c>
      <c r="D26" s="9" t="inlineStr">
        <is>
          <t>-</t>
        </is>
      </c>
      <c r="F26" s="10" t="inlineStr">
        <is>
          <t>calibrated to the measured scat stream</t>
        </is>
      </c>
      <c r="G26" s="10" t="inlineStr">
        <is>
          <t>Calibrated</t>
        </is>
      </c>
      <c r="I26" s="7" t="inlineStr">
        <is>
          <t>Sorting OPEX</t>
        </is>
      </c>
      <c r="K26" s="11">
        <f>-C21*'MB Sort'!G106</f>
        <v/>
      </c>
      <c r="M26" s="9" t="inlineStr">
        <is>
          <t>$/h</t>
        </is>
      </c>
    </row>
    <row r="27">
      <c r="B27" s="17" t="inlineStr">
        <is>
          <t>HETEROGENEITY CONTRAST</t>
        </is>
      </c>
      <c r="C27" s="18">
        <f>C26/C25</f>
        <v/>
      </c>
      <c r="D27" s="9" t="inlineStr">
        <is>
          <t>x</t>
        </is>
      </c>
      <c r="F27" s="10" t="inlineStr">
        <is>
          <t>waste yield / ore yield.   Sukari = 8.9x</t>
        </is>
      </c>
      <c r="G27" s="10" t="inlineStr">
        <is>
          <t>KEY METRIC</t>
        </is>
      </c>
      <c r="I27" s="7" t="inlineStr">
        <is>
          <t>Reject rehandle + dump</t>
        </is>
      </c>
      <c r="K27" s="11">
        <f>-C20*'MB Sort'!G107</f>
        <v/>
      </c>
      <c r="M27" s="9" t="inlineStr">
        <is>
          <t>$/h</t>
        </is>
      </c>
    </row>
    <row r="28">
      <c r="A28" s="4" t="inlineStr">
        <is>
          <t xml:space="preserve">  SORTER PROPERTY</t>
        </is>
      </c>
      <c r="B28" s="4" t="n"/>
      <c r="C28" s="4" t="n"/>
      <c r="D28" s="4" t="n"/>
      <c r="E28" s="4" t="n"/>
      <c r="F28" s="4" t="n"/>
      <c r="G28" s="4" t="n"/>
      <c r="I28" s="7" t="inlineStr">
        <is>
          <t>Incremental mining cost</t>
        </is>
      </c>
      <c r="K28" s="11">
        <f>-C19*L9</f>
        <v/>
      </c>
      <c r="M28" s="9" t="inlineStr">
        <is>
          <t>$/h</t>
        </is>
      </c>
    </row>
    <row r="29">
      <c r="B29" s="7" t="inlineStr">
        <is>
          <t>Sorter ore recovery</t>
        </is>
      </c>
      <c r="C29" s="19" t="n">
        <v>0.95</v>
      </c>
      <c r="D29" s="9" t="inlineStr">
        <is>
          <t>-</t>
        </is>
      </c>
      <c r="F29" s="10" t="inlineStr">
        <is>
          <t>XRT, conservatively tuned</t>
        </is>
      </c>
      <c r="G29" s="10" t="inlineStr">
        <is>
          <t>TEST WORK REQUIRED</t>
        </is>
      </c>
      <c r="I29" s="7" t="inlineStr">
        <is>
          <t>Milling cost saved</t>
        </is>
      </c>
      <c r="K29" s="11">
        <f>-C18*L11</f>
        <v/>
      </c>
      <c r="M29" s="9" t="inlineStr">
        <is>
          <t>$/h</t>
        </is>
      </c>
    </row>
    <row r="30">
      <c r="B30" s="7" t="inlineStr">
        <is>
          <t>Waste mass to rejects</t>
        </is>
      </c>
      <c r="C30" s="19" t="n">
        <v>0.7</v>
      </c>
      <c r="D30" s="9" t="inlineStr">
        <is>
          <t>-</t>
        </is>
      </c>
      <c r="F30" s="10" t="inlineStr">
        <is>
          <t>XRT on Syama lithologies</t>
        </is>
      </c>
      <c r="G30" s="10" t="inlineStr">
        <is>
          <t>TEST WORK REQUIRED</t>
        </is>
      </c>
      <c r="I30" s="17" t="inlineStr">
        <is>
          <t>NET CASH BENEFIT</t>
        </is>
      </c>
      <c r="K30" s="20">
        <f>SUM(K25:K29)</f>
        <v/>
      </c>
      <c r="M30" s="9" t="inlineStr">
        <is>
          <t>$/h</t>
        </is>
      </c>
    </row>
    <row r="31">
      <c r="A31" s="4" t="inlineStr">
        <is>
          <t xml:space="preserve">  CAPITAL &amp; EVALUATION</t>
        </is>
      </c>
      <c r="B31" s="4" t="n"/>
      <c r="C31" s="4" t="n"/>
      <c r="D31" s="4" t="n"/>
      <c r="E31" s="4" t="n"/>
      <c r="F31" s="4" t="n"/>
      <c r="G31" s="4" t="n"/>
      <c r="I31" s="17" t="inlineStr">
        <is>
          <t>NET CASH BENEFIT</t>
        </is>
      </c>
      <c r="K31" s="20">
        <f>K30*C11</f>
        <v/>
      </c>
      <c r="M31" s="9" t="inlineStr">
        <is>
          <t>$/a</t>
        </is>
      </c>
    </row>
    <row r="32">
      <c r="B32" s="7" t="inlineStr">
        <is>
          <t>Sorting plant CAPEX</t>
        </is>
      </c>
      <c r="C32" s="11" t="n">
        <v>4095000</v>
      </c>
      <c r="D32" s="9" t="inlineStr">
        <is>
          <t>$</t>
        </is>
      </c>
      <c r="F32" s="10" t="inlineStr">
        <is>
          <t>1 x 50 t/h sorter, STEINERT build-up +30%</t>
        </is>
      </c>
      <c r="G32" s="10" t="inlineStr">
        <is>
          <t>Vendor benchmark</t>
        </is>
      </c>
      <c r="I32" s="17" t="inlineStr">
        <is>
          <t>NPV</t>
        </is>
      </c>
      <c r="K32" s="20">
        <f>NPV!B8</f>
        <v/>
      </c>
      <c r="M32" s="9" t="inlineStr">
        <is>
          <t>$</t>
        </is>
      </c>
    </row>
    <row r="33">
      <c r="B33" s="7" t="inlineStr">
        <is>
          <t>Build period</t>
        </is>
      </c>
      <c r="C33" s="21" t="n">
        <v>12</v>
      </c>
      <c r="D33" s="9" t="inlineStr">
        <is>
          <t>months</t>
        </is>
      </c>
      <c r="F33" s="10" t="inlineStr"/>
      <c r="G33" s="10" t="inlineStr">
        <is>
          <t>Assumption</t>
        </is>
      </c>
      <c r="I33" s="17" t="inlineStr">
        <is>
          <t>IRR</t>
        </is>
      </c>
      <c r="K33" s="22">
        <f>NPV!B9</f>
        <v/>
      </c>
      <c r="M33" s="9" t="inlineStr">
        <is>
          <t>-</t>
        </is>
      </c>
    </row>
    <row r="34">
      <c r="B34" s="7" t="inlineStr">
        <is>
          <t>Evaluation life</t>
        </is>
      </c>
      <c r="C34" s="21" t="n">
        <v>96</v>
      </c>
      <c r="D34" s="9" t="inlineStr">
        <is>
          <t>months</t>
        </is>
      </c>
      <c r="F34" s="10" t="inlineStr">
        <is>
          <t>8 years</t>
        </is>
      </c>
      <c r="G34" s="10" t="inlineStr">
        <is>
          <t>Assumption</t>
        </is>
      </c>
      <c r="I34" s="17" t="inlineStr">
        <is>
          <t>Simple payback</t>
        </is>
      </c>
      <c r="K34" s="23">
        <f>IF(K31&gt;0,C32/K31*12,"n/a")</f>
        <v/>
      </c>
      <c r="M34" s="9" t="inlineStr">
        <is>
          <t>months</t>
        </is>
      </c>
    </row>
    <row r="35">
      <c r="B35" s="7" t="inlineStr">
        <is>
          <t>ROM feed uplift  (Goal Seek)</t>
        </is>
      </c>
      <c r="C35" s="12" t="n">
        <v>7.2</v>
      </c>
      <c r="D35" s="9" t="inlineStr">
        <is>
          <t>t/h</t>
        </is>
      </c>
      <c r="F35" s="10" t="inlineStr">
        <is>
          <t>Goal Seek: set L17 to 0 by changing this cell</t>
        </is>
      </c>
      <c r="G35" s="10" t="inlineStr">
        <is>
          <t>Solved</t>
        </is>
      </c>
    </row>
    <row r="36">
      <c r="B36" s="7" t="inlineStr">
        <is>
          <t>Capacity capture factor</t>
        </is>
      </c>
      <c r="C36" s="19" t="n">
        <v>1</v>
      </c>
      <c r="D36" s="9" t="inlineStr">
        <is>
          <t>-</t>
        </is>
      </c>
      <c r="F36" s="10" t="inlineStr">
        <is>
          <t>share of freed SAG capacity actually filled with ore</t>
        </is>
      </c>
      <c r="G36" s="10" t="inlineStr">
        <is>
          <t>CRITICAL ASSUMPTION</t>
        </is>
      </c>
    </row>
    <row r="37">
      <c r="B37" s="4" t="inlineStr">
        <is>
          <t xml:space="preserve">  CALIBRATION CHECK  -  model must reproduce the measured scat stream</t>
        </is>
      </c>
      <c r="C37" s="4" t="n"/>
      <c r="D37" s="4" t="n"/>
      <c r="E37" s="4" t="n"/>
      <c r="F37" s="4" t="n"/>
      <c r="G37" s="4" t="n"/>
    </row>
    <row r="38">
      <c r="B38" s="7" t="inlineStr">
        <is>
          <t>Measured circulating scat load</t>
        </is>
      </c>
      <c r="C38" s="24" t="n">
        <v>30</v>
      </c>
      <c r="D38" s="9" t="inlineStr">
        <is>
          <t>t/h</t>
        </is>
      </c>
      <c r="F38" s="10" t="inlineStr">
        <is>
          <t>plant survey / client sampling</t>
        </is>
      </c>
      <c r="G38" s="10" t="inlineStr">
        <is>
          <t>CLIENT DATA</t>
        </is>
      </c>
    </row>
    <row r="39">
      <c r="B39" s="7" t="inlineStr">
        <is>
          <t>MEASURED SCAT GRADE</t>
        </is>
      </c>
      <c r="C39" s="18" t="n">
        <v>2</v>
      </c>
      <c r="D39" s="9" t="inlineStr">
        <is>
          <t>g/t</t>
        </is>
      </c>
      <c r="F39" s="10" t="inlineStr">
        <is>
          <t>plant survey / client sampling</t>
        </is>
      </c>
      <c r="G39" s="10" t="inlineStr">
        <is>
          <t>CLIENT DATA</t>
        </is>
      </c>
    </row>
    <row r="40">
      <c r="B40" s="7" t="inlineStr">
        <is>
          <t>Modelled circulating scat load</t>
        </is>
      </c>
      <c r="C40" s="25">
        <f>'MB Base'!G106</f>
        <v/>
      </c>
      <c r="D40" s="9" t="inlineStr">
        <is>
          <t>t/h</t>
        </is>
      </c>
      <c r="F40" s="10" t="inlineStr">
        <is>
          <t>adjust the two mass yields above until modelled = measured</t>
        </is>
      </c>
      <c r="G40" s="10" t="inlineStr">
        <is>
          <t>calc</t>
        </is>
      </c>
    </row>
    <row r="41">
      <c r="B41" s="7" t="inlineStr">
        <is>
          <t>Modelled scat grade</t>
        </is>
      </c>
      <c r="C41" s="12">
        <f>'MB Base'!H106</f>
        <v/>
      </c>
      <c r="D41" s="9" t="inlineStr">
        <is>
          <t>g/t</t>
        </is>
      </c>
      <c r="F41" s="10" t="inlineStr">
        <is>
          <t>adjust the two mass yields above until modelled = measured</t>
        </is>
      </c>
      <c r="G41" s="10" t="inlineStr">
        <is>
          <t>calc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1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1" customWidth="1" min="3" max="3"/>
    <col width="7" customWidth="1" min="4" max="4"/>
    <col width="2" customWidth="1" min="5" max="5"/>
    <col width="30" customWidth="1" min="6" max="6"/>
    <col width="11" customWidth="1" min="7" max="7"/>
    <col width="10" customWidth="1" min="8" max="8"/>
    <col width="11" customWidth="1" min="9" max="9"/>
    <col width="9" customWidth="1" min="10" max="10"/>
    <col width="10" customWidth="1" min="11" max="11"/>
    <col width="10" customWidth="1" min="12" max="12"/>
    <col width="11" customWidth="1" min="13" max="13"/>
    <col width="9" customWidth="1" min="14" max="14"/>
    <col width="10" customWidth="1" min="15" max="15"/>
  </cols>
  <sheetData>
    <row r="1">
      <c r="B1" s="4" t="inlineStr">
        <is>
          <t xml:space="preserve">  MB Base   |   base case - all scats crushed and returned, no sorting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B2" s="5" t="inlineStr">
        <is>
          <t>Assumption</t>
        </is>
      </c>
      <c r="C2" s="5" t="inlineStr">
        <is>
          <t>Value</t>
        </is>
      </c>
      <c r="D2" s="5" t="inlineStr">
        <is>
          <t>Unit</t>
        </is>
      </c>
      <c r="F2" s="5" t="inlineStr">
        <is>
          <t>Stream</t>
        </is>
      </c>
      <c r="G2" s="6" t="inlineStr">
        <is>
          <t>Mass t/h</t>
        </is>
      </c>
      <c r="H2" s="6" t="inlineStr">
        <is>
          <t>Au g/t</t>
        </is>
      </c>
      <c r="I2" s="6" t="inlineStr">
        <is>
          <t>Au g/h</t>
        </is>
      </c>
      <c r="J2" s="6" t="inlineStr">
        <is>
          <t>Ore %</t>
        </is>
      </c>
      <c r="K2" s="6" t="inlineStr">
        <is>
          <t>Ore t/h</t>
        </is>
      </c>
      <c r="L2" s="6" t="inlineStr">
        <is>
          <t>Ore g/t</t>
        </is>
      </c>
      <c r="M2" s="6" t="inlineStr">
        <is>
          <t>Ore Au g/h</t>
        </is>
      </c>
      <c r="N2" s="6" t="inlineStr">
        <is>
          <t>Waste %</t>
        </is>
      </c>
      <c r="O2" s="6" t="inlineStr">
        <is>
          <t>Waste t/h</t>
        </is>
      </c>
    </row>
    <row r="3">
      <c r="B3" s="9" t="inlineStr">
        <is>
          <t>Mass yield ore -&gt; oversize</t>
        </is>
      </c>
      <c r="C3" s="26">
        <f>Dashboard!C25</f>
        <v/>
      </c>
      <c r="D3" s="9" t="inlineStr"/>
    </row>
    <row r="4">
      <c r="B4" s="9" t="inlineStr">
        <is>
          <t>Mass yield waste -&gt; oversize</t>
        </is>
      </c>
      <c r="C4" s="26">
        <f>Dashboard!C26</f>
        <v/>
      </c>
      <c r="D4" s="9" t="inlineStr"/>
    </row>
    <row r="5">
      <c r="B5" s="9" t="inlineStr">
        <is>
          <t>Sorter ore recovery</t>
        </is>
      </c>
      <c r="C5" s="13" t="n">
        <v>1</v>
      </c>
      <c r="D5" s="9" t="inlineStr"/>
      <c r="F5" s="7" t="inlineStr">
        <is>
          <t>PLANT FEED (new ROM)</t>
        </is>
      </c>
      <c r="G5" s="27">
        <f>K5+O5</f>
        <v/>
      </c>
      <c r="H5" s="27">
        <f>IFERROR(I5/G5,0)</f>
        <v/>
      </c>
      <c r="I5" s="27">
        <f>M5</f>
        <v/>
      </c>
      <c r="J5" s="28">
        <f>IFERROR(K5/G5,0)</f>
        <v/>
      </c>
      <c r="K5" s="27">
        <f>Dashboard!C10*(1-$C$8)</f>
        <v/>
      </c>
      <c r="L5" s="27">
        <f>$C$7</f>
        <v/>
      </c>
      <c r="M5" s="27">
        <f>K5*L5</f>
        <v/>
      </c>
      <c r="N5" s="28">
        <f>IFERROR(O5/G5,0)</f>
        <v/>
      </c>
      <c r="O5" s="27">
        <f>Dashboard!C10*$C$8</f>
        <v/>
      </c>
    </row>
    <row r="6">
      <c r="B6" s="9" t="inlineStr">
        <is>
          <t>Waste mass to rejects</t>
        </is>
      </c>
      <c r="C6" s="13" t="n">
        <v>0</v>
      </c>
      <c r="D6" s="9" t="inlineStr"/>
    </row>
    <row r="7">
      <c r="B7" s="9" t="inlineStr">
        <is>
          <t>Undiluted ore grade</t>
        </is>
      </c>
      <c r="C7" s="15">
        <f>Dashboard!C24</f>
        <v/>
      </c>
      <c r="D7" s="9" t="inlineStr">
        <is>
          <t>g/t</t>
        </is>
      </c>
    </row>
    <row r="8">
      <c r="B8" s="9" t="inlineStr">
        <is>
          <t>Waste dilution</t>
        </is>
      </c>
      <c r="C8" s="13">
        <f>Dashboard!C23</f>
        <v/>
      </c>
      <c r="D8" s="9" t="inlineStr"/>
    </row>
    <row r="10">
      <c r="F10" s="29" t="inlineStr">
        <is>
          <t xml:space="preserve">  RECIRCULATION PASS 1</t>
        </is>
      </c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</row>
    <row r="11">
      <c r="F11" s="9" t="inlineStr">
        <is>
          <t>SAG feed</t>
        </is>
      </c>
      <c r="G11" s="8">
        <f>K11+O11</f>
        <v/>
      </c>
      <c r="H11" s="8">
        <f>IFERROR(I11/G11,0)</f>
        <v/>
      </c>
      <c r="I11" s="8">
        <f>M11</f>
        <v/>
      </c>
      <c r="J11" s="13">
        <f>IFERROR(K11/G11,0)</f>
        <v/>
      </c>
      <c r="K11" s="8">
        <f>K5</f>
        <v/>
      </c>
      <c r="L11" s="8">
        <f>$C$7</f>
        <v/>
      </c>
      <c r="M11" s="8">
        <f>K11*L11</f>
        <v/>
      </c>
      <c r="N11" s="13">
        <f>IFERROR(O11/G11,0)</f>
        <v/>
      </c>
      <c r="O11" s="8">
        <f>O5</f>
        <v/>
      </c>
    </row>
    <row r="12">
      <c r="F12" s="9" t="inlineStr">
        <is>
          <t>SAG discharge</t>
        </is>
      </c>
      <c r="G12" s="8">
        <f>K12+O12</f>
        <v/>
      </c>
      <c r="H12" s="8">
        <f>IFERROR(I12/G12,0)</f>
        <v/>
      </c>
      <c r="I12" s="8">
        <f>M12</f>
        <v/>
      </c>
      <c r="J12" s="13">
        <f>IFERROR(K12/G12,0)</f>
        <v/>
      </c>
      <c r="K12" s="8">
        <f>K11</f>
        <v/>
      </c>
      <c r="L12" s="8">
        <f>$C$7</f>
        <v/>
      </c>
      <c r="M12" s="8">
        <f>K12*L12</f>
        <v/>
      </c>
      <c r="N12" s="13">
        <f>IFERROR(O12/G12,0)</f>
        <v/>
      </c>
      <c r="O12" s="8">
        <f>O11</f>
        <v/>
      </c>
    </row>
    <row r="13">
      <c r="F13" s="30" t="inlineStr">
        <is>
          <t>Mill discharge screen</t>
        </is>
      </c>
    </row>
    <row r="14">
      <c r="F14" s="9" t="inlineStr">
        <is>
          <t xml:space="preserve">   screen feed</t>
        </is>
      </c>
      <c r="G14" s="8">
        <f>K14+O14</f>
        <v/>
      </c>
      <c r="H14" s="8">
        <f>IFERROR(I14/G14,0)</f>
        <v/>
      </c>
      <c r="I14" s="8">
        <f>M14</f>
        <v/>
      </c>
      <c r="J14" s="13">
        <f>IFERROR(K14/G14,0)</f>
        <v/>
      </c>
      <c r="K14" s="8">
        <f>K12</f>
        <v/>
      </c>
      <c r="L14" s="8">
        <f>$C$7</f>
        <v/>
      </c>
      <c r="M14" s="8">
        <f>K14*L14</f>
        <v/>
      </c>
      <c r="N14" s="13">
        <f>IFERROR(O14/G14,0)</f>
        <v/>
      </c>
      <c r="O14" s="8">
        <f>O12</f>
        <v/>
      </c>
    </row>
    <row r="15">
      <c r="F15" s="9" t="inlineStr">
        <is>
          <t xml:space="preserve">   oversize (scats)</t>
        </is>
      </c>
      <c r="G15" s="8">
        <f>K15+O15</f>
        <v/>
      </c>
      <c r="H15" s="8">
        <f>IFERROR(I15/G15,0)</f>
        <v/>
      </c>
      <c r="I15" s="8">
        <f>M15</f>
        <v/>
      </c>
      <c r="J15" s="13">
        <f>IFERROR(K15/G15,0)</f>
        <v/>
      </c>
      <c r="K15" s="8">
        <f>K14*$C$3</f>
        <v/>
      </c>
      <c r="L15" s="8">
        <f>$C$7</f>
        <v/>
      </c>
      <c r="M15" s="8">
        <f>K15*L15</f>
        <v/>
      </c>
      <c r="N15" s="13">
        <f>IFERROR(O15/G15,0)</f>
        <v/>
      </c>
      <c r="O15" s="8">
        <f>O14*$C$4</f>
        <v/>
      </c>
    </row>
    <row r="16">
      <c r="F16" s="9" t="inlineStr">
        <is>
          <t xml:space="preserve">   undersize</t>
        </is>
      </c>
      <c r="G16" s="8">
        <f>K16+O16</f>
        <v/>
      </c>
      <c r="H16" s="8">
        <f>IFERROR(I16/G16,0)</f>
        <v/>
      </c>
      <c r="I16" s="8">
        <f>M16</f>
        <v/>
      </c>
      <c r="J16" s="13">
        <f>IFERROR(K16/G16,0)</f>
        <v/>
      </c>
      <c r="K16" s="8">
        <f>K14-K15</f>
        <v/>
      </c>
      <c r="L16" s="8">
        <f>$C$7</f>
        <v/>
      </c>
      <c r="M16" s="8">
        <f>K16*L16</f>
        <v/>
      </c>
      <c r="N16" s="13">
        <f>IFERROR(O16/G16,0)</f>
        <v/>
      </c>
      <c r="O16" s="8">
        <f>O14-O15</f>
        <v/>
      </c>
    </row>
    <row r="17">
      <c r="F17" s="30" t="inlineStr">
        <is>
          <t>Pebble sorter</t>
        </is>
      </c>
    </row>
    <row r="18">
      <c r="F18" s="9" t="inlineStr">
        <is>
          <t xml:space="preserve">   sorter feed</t>
        </is>
      </c>
      <c r="G18" s="8">
        <f>K18+O18</f>
        <v/>
      </c>
      <c r="H18" s="8">
        <f>IFERROR(I18/G18,0)</f>
        <v/>
      </c>
      <c r="I18" s="8">
        <f>M18</f>
        <v/>
      </c>
      <c r="J18" s="13">
        <f>IFERROR(K18/G18,0)</f>
        <v/>
      </c>
      <c r="K18" s="8">
        <f>K15</f>
        <v/>
      </c>
      <c r="L18" s="8">
        <f>$C$7</f>
        <v/>
      </c>
      <c r="M18" s="8">
        <f>K18*L18</f>
        <v/>
      </c>
      <c r="N18" s="13">
        <f>IFERROR(O18/G18,0)</f>
        <v/>
      </c>
      <c r="O18" s="8">
        <f>O15</f>
        <v/>
      </c>
    </row>
    <row r="19">
      <c r="F19" s="9" t="inlineStr">
        <is>
          <t xml:space="preserve">   rejects</t>
        </is>
      </c>
      <c r="G19" s="8">
        <f>K19+O19</f>
        <v/>
      </c>
      <c r="H19" s="8">
        <f>IFERROR(I19/G19,0)</f>
        <v/>
      </c>
      <c r="I19" s="8">
        <f>M19</f>
        <v/>
      </c>
      <c r="J19" s="13">
        <f>IFERROR(K19/G19,0)</f>
        <v/>
      </c>
      <c r="K19" s="8">
        <f>K18*(1-$C$5)</f>
        <v/>
      </c>
      <c r="L19" s="8">
        <f>$C$7</f>
        <v/>
      </c>
      <c r="M19" s="8">
        <f>K19*L19</f>
        <v/>
      </c>
      <c r="N19" s="13">
        <f>IFERROR(O19/G19,0)</f>
        <v/>
      </c>
      <c r="O19" s="8">
        <f>O18*$C$6</f>
        <v/>
      </c>
    </row>
    <row r="20">
      <c r="F20" s="9" t="inlineStr">
        <is>
          <t xml:space="preserve">   concentrate -&gt; SAG</t>
        </is>
      </c>
      <c r="G20" s="8">
        <f>K20+O20</f>
        <v/>
      </c>
      <c r="H20" s="8">
        <f>IFERROR(I20/G20,0)</f>
        <v/>
      </c>
      <c r="I20" s="8">
        <f>M20</f>
        <v/>
      </c>
      <c r="J20" s="13">
        <f>IFERROR(K20/G20,0)</f>
        <v/>
      </c>
      <c r="K20" s="8">
        <f>K18-K19</f>
        <v/>
      </c>
      <c r="L20" s="8">
        <f>$C$7</f>
        <v/>
      </c>
      <c r="M20" s="8">
        <f>K20*L20</f>
        <v/>
      </c>
      <c r="N20" s="13">
        <f>IFERROR(O20/G20,0)</f>
        <v/>
      </c>
      <c r="O20" s="8">
        <f>O18-O19</f>
        <v/>
      </c>
    </row>
    <row r="24">
      <c r="F24" s="29" t="inlineStr">
        <is>
          <t xml:space="preserve">  RECIRCULATION PASS 2</t>
        </is>
      </c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</row>
    <row r="25">
      <c r="F25" s="9" t="inlineStr">
        <is>
          <t>SAG feed</t>
        </is>
      </c>
      <c r="G25" s="8">
        <f>K25+O25</f>
        <v/>
      </c>
      <c r="H25" s="8">
        <f>IFERROR(I25/G25,0)</f>
        <v/>
      </c>
      <c r="I25" s="8">
        <f>M25</f>
        <v/>
      </c>
      <c r="J25" s="13">
        <f>IFERROR(K25/G25,0)</f>
        <v/>
      </c>
      <c r="K25" s="8">
        <f>K20</f>
        <v/>
      </c>
      <c r="L25" s="8">
        <f>$C$7</f>
        <v/>
      </c>
      <c r="M25" s="8">
        <f>K25*L25</f>
        <v/>
      </c>
      <c r="N25" s="13">
        <f>IFERROR(O25/G25,0)</f>
        <v/>
      </c>
      <c r="O25" s="8">
        <f>O20</f>
        <v/>
      </c>
    </row>
    <row r="26">
      <c r="F26" s="9" t="inlineStr">
        <is>
          <t>SAG discharge</t>
        </is>
      </c>
      <c r="G26" s="8">
        <f>K26+O26</f>
        <v/>
      </c>
      <c r="H26" s="8">
        <f>IFERROR(I26/G26,0)</f>
        <v/>
      </c>
      <c r="I26" s="8">
        <f>M26</f>
        <v/>
      </c>
      <c r="J26" s="13">
        <f>IFERROR(K26/G26,0)</f>
        <v/>
      </c>
      <c r="K26" s="8">
        <f>K25</f>
        <v/>
      </c>
      <c r="L26" s="8">
        <f>$C$7</f>
        <v/>
      </c>
      <c r="M26" s="8">
        <f>K26*L26</f>
        <v/>
      </c>
      <c r="N26" s="13">
        <f>IFERROR(O26/G26,0)</f>
        <v/>
      </c>
      <c r="O26" s="8">
        <f>O25</f>
        <v/>
      </c>
    </row>
    <row r="27">
      <c r="F27" s="30" t="inlineStr">
        <is>
          <t>Mill discharge screen</t>
        </is>
      </c>
    </row>
    <row r="28">
      <c r="F28" s="9" t="inlineStr">
        <is>
          <t xml:space="preserve">   screen feed</t>
        </is>
      </c>
      <c r="G28" s="8">
        <f>K28+O28</f>
        <v/>
      </c>
      <c r="H28" s="8">
        <f>IFERROR(I28/G28,0)</f>
        <v/>
      </c>
      <c r="I28" s="8">
        <f>M28</f>
        <v/>
      </c>
      <c r="J28" s="13">
        <f>IFERROR(K28/G28,0)</f>
        <v/>
      </c>
      <c r="K28" s="8">
        <f>K26</f>
        <v/>
      </c>
      <c r="L28" s="8">
        <f>$C$7</f>
        <v/>
      </c>
      <c r="M28" s="8">
        <f>K28*L28</f>
        <v/>
      </c>
      <c r="N28" s="13">
        <f>IFERROR(O28/G28,0)</f>
        <v/>
      </c>
      <c r="O28" s="8">
        <f>O26</f>
        <v/>
      </c>
    </row>
    <row r="29">
      <c r="F29" s="9" t="inlineStr">
        <is>
          <t xml:space="preserve">   oversize (scats)</t>
        </is>
      </c>
      <c r="G29" s="8">
        <f>K29+O29</f>
        <v/>
      </c>
      <c r="H29" s="8">
        <f>IFERROR(I29/G29,0)</f>
        <v/>
      </c>
      <c r="I29" s="8">
        <f>M29</f>
        <v/>
      </c>
      <c r="J29" s="13">
        <f>IFERROR(K29/G29,0)</f>
        <v/>
      </c>
      <c r="K29" s="8">
        <f>K28*$C$3</f>
        <v/>
      </c>
      <c r="L29" s="8">
        <f>$C$7</f>
        <v/>
      </c>
      <c r="M29" s="8">
        <f>K29*L29</f>
        <v/>
      </c>
      <c r="N29" s="13">
        <f>IFERROR(O29/G29,0)</f>
        <v/>
      </c>
      <c r="O29" s="8">
        <f>O28*$C$4</f>
        <v/>
      </c>
    </row>
    <row r="30">
      <c r="F30" s="9" t="inlineStr">
        <is>
          <t xml:space="preserve">   undersize</t>
        </is>
      </c>
      <c r="G30" s="8">
        <f>K30+O30</f>
        <v/>
      </c>
      <c r="H30" s="8">
        <f>IFERROR(I30/G30,0)</f>
        <v/>
      </c>
      <c r="I30" s="8">
        <f>M30</f>
        <v/>
      </c>
      <c r="J30" s="13">
        <f>IFERROR(K30/G30,0)</f>
        <v/>
      </c>
      <c r="K30" s="8">
        <f>K28-K29</f>
        <v/>
      </c>
      <c r="L30" s="8">
        <f>$C$7</f>
        <v/>
      </c>
      <c r="M30" s="8">
        <f>K30*L30</f>
        <v/>
      </c>
      <c r="N30" s="13">
        <f>IFERROR(O30/G30,0)</f>
        <v/>
      </c>
      <c r="O30" s="8">
        <f>O28-O29</f>
        <v/>
      </c>
    </row>
    <row r="31">
      <c r="F31" s="30" t="inlineStr">
        <is>
          <t>Pebble sorter</t>
        </is>
      </c>
    </row>
    <row r="32">
      <c r="F32" s="9" t="inlineStr">
        <is>
          <t xml:space="preserve">   sorter feed</t>
        </is>
      </c>
      <c r="G32" s="8">
        <f>K32+O32</f>
        <v/>
      </c>
      <c r="H32" s="8">
        <f>IFERROR(I32/G32,0)</f>
        <v/>
      </c>
      <c r="I32" s="8">
        <f>M32</f>
        <v/>
      </c>
      <c r="J32" s="13">
        <f>IFERROR(K32/G32,0)</f>
        <v/>
      </c>
      <c r="K32" s="8">
        <f>K29</f>
        <v/>
      </c>
      <c r="L32" s="8">
        <f>$C$7</f>
        <v/>
      </c>
      <c r="M32" s="8">
        <f>K32*L32</f>
        <v/>
      </c>
      <c r="N32" s="13">
        <f>IFERROR(O32/G32,0)</f>
        <v/>
      </c>
      <c r="O32" s="8">
        <f>O29</f>
        <v/>
      </c>
    </row>
    <row r="33">
      <c r="F33" s="9" t="inlineStr">
        <is>
          <t xml:space="preserve">   rejects</t>
        </is>
      </c>
      <c r="G33" s="8">
        <f>K33+O33</f>
        <v/>
      </c>
      <c r="H33" s="8">
        <f>IFERROR(I33/G33,0)</f>
        <v/>
      </c>
      <c r="I33" s="8">
        <f>M33</f>
        <v/>
      </c>
      <c r="J33" s="13">
        <f>IFERROR(K33/G33,0)</f>
        <v/>
      </c>
      <c r="K33" s="8">
        <f>K32*(1-$C$5)</f>
        <v/>
      </c>
      <c r="L33" s="8">
        <f>$C$7</f>
        <v/>
      </c>
      <c r="M33" s="8">
        <f>K33*L33</f>
        <v/>
      </c>
      <c r="N33" s="13">
        <f>IFERROR(O33/G33,0)</f>
        <v/>
      </c>
      <c r="O33" s="8">
        <f>O32*$C$6</f>
        <v/>
      </c>
    </row>
    <row r="34">
      <c r="F34" s="9" t="inlineStr">
        <is>
          <t xml:space="preserve">   concentrate -&gt; SAG</t>
        </is>
      </c>
      <c r="G34" s="8">
        <f>K34+O34</f>
        <v/>
      </c>
      <c r="H34" s="8">
        <f>IFERROR(I34/G34,0)</f>
        <v/>
      </c>
      <c r="I34" s="8">
        <f>M34</f>
        <v/>
      </c>
      <c r="J34" s="13">
        <f>IFERROR(K34/G34,0)</f>
        <v/>
      </c>
      <c r="K34" s="8">
        <f>K32-K33</f>
        <v/>
      </c>
      <c r="L34" s="8">
        <f>$C$7</f>
        <v/>
      </c>
      <c r="M34" s="8">
        <f>K34*L34</f>
        <v/>
      </c>
      <c r="N34" s="13">
        <f>IFERROR(O34/G34,0)</f>
        <v/>
      </c>
      <c r="O34" s="8">
        <f>O32-O33</f>
        <v/>
      </c>
    </row>
    <row r="38">
      <c r="F38" s="29" t="inlineStr">
        <is>
          <t xml:space="preserve">  RECIRCULATION PASS 3</t>
        </is>
      </c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</row>
    <row r="39">
      <c r="F39" s="9" t="inlineStr">
        <is>
          <t>SAG feed</t>
        </is>
      </c>
      <c r="G39" s="8">
        <f>K39+O39</f>
        <v/>
      </c>
      <c r="H39" s="8">
        <f>IFERROR(I39/G39,0)</f>
        <v/>
      </c>
      <c r="I39" s="8">
        <f>M39</f>
        <v/>
      </c>
      <c r="J39" s="13">
        <f>IFERROR(K39/G39,0)</f>
        <v/>
      </c>
      <c r="K39" s="8">
        <f>K34</f>
        <v/>
      </c>
      <c r="L39" s="8">
        <f>$C$7</f>
        <v/>
      </c>
      <c r="M39" s="8">
        <f>K39*L39</f>
        <v/>
      </c>
      <c r="N39" s="13">
        <f>IFERROR(O39/G39,0)</f>
        <v/>
      </c>
      <c r="O39" s="8">
        <f>O34</f>
        <v/>
      </c>
    </row>
    <row r="40">
      <c r="F40" s="9" t="inlineStr">
        <is>
          <t>SAG discharge</t>
        </is>
      </c>
      <c r="G40" s="8">
        <f>K40+O40</f>
        <v/>
      </c>
      <c r="H40" s="8">
        <f>IFERROR(I40/G40,0)</f>
        <v/>
      </c>
      <c r="I40" s="8">
        <f>M40</f>
        <v/>
      </c>
      <c r="J40" s="13">
        <f>IFERROR(K40/G40,0)</f>
        <v/>
      </c>
      <c r="K40" s="8">
        <f>K39</f>
        <v/>
      </c>
      <c r="L40" s="8">
        <f>$C$7</f>
        <v/>
      </c>
      <c r="M40" s="8">
        <f>K40*L40</f>
        <v/>
      </c>
      <c r="N40" s="13">
        <f>IFERROR(O40/G40,0)</f>
        <v/>
      </c>
      <c r="O40" s="8">
        <f>O39</f>
        <v/>
      </c>
    </row>
    <row r="41">
      <c r="F41" s="30" t="inlineStr">
        <is>
          <t>Mill discharge screen</t>
        </is>
      </c>
    </row>
    <row r="42">
      <c r="F42" s="9" t="inlineStr">
        <is>
          <t xml:space="preserve">   screen feed</t>
        </is>
      </c>
      <c r="G42" s="8">
        <f>K42+O42</f>
        <v/>
      </c>
      <c r="H42" s="8">
        <f>IFERROR(I42/G42,0)</f>
        <v/>
      </c>
      <c r="I42" s="8">
        <f>M42</f>
        <v/>
      </c>
      <c r="J42" s="13">
        <f>IFERROR(K42/G42,0)</f>
        <v/>
      </c>
      <c r="K42" s="8">
        <f>K40</f>
        <v/>
      </c>
      <c r="L42" s="8">
        <f>$C$7</f>
        <v/>
      </c>
      <c r="M42" s="8">
        <f>K42*L42</f>
        <v/>
      </c>
      <c r="N42" s="13">
        <f>IFERROR(O42/G42,0)</f>
        <v/>
      </c>
      <c r="O42" s="8">
        <f>O40</f>
        <v/>
      </c>
    </row>
    <row r="43">
      <c r="F43" s="9" t="inlineStr">
        <is>
          <t xml:space="preserve">   oversize (scats)</t>
        </is>
      </c>
      <c r="G43" s="8">
        <f>K43+O43</f>
        <v/>
      </c>
      <c r="H43" s="8">
        <f>IFERROR(I43/G43,0)</f>
        <v/>
      </c>
      <c r="I43" s="8">
        <f>M43</f>
        <v/>
      </c>
      <c r="J43" s="13">
        <f>IFERROR(K43/G43,0)</f>
        <v/>
      </c>
      <c r="K43" s="8">
        <f>K42*$C$3</f>
        <v/>
      </c>
      <c r="L43" s="8">
        <f>$C$7</f>
        <v/>
      </c>
      <c r="M43" s="8">
        <f>K43*L43</f>
        <v/>
      </c>
      <c r="N43" s="13">
        <f>IFERROR(O43/G43,0)</f>
        <v/>
      </c>
      <c r="O43" s="8">
        <f>O42*$C$4</f>
        <v/>
      </c>
    </row>
    <row r="44">
      <c r="F44" s="9" t="inlineStr">
        <is>
          <t xml:space="preserve">   undersize</t>
        </is>
      </c>
      <c r="G44" s="8">
        <f>K44+O44</f>
        <v/>
      </c>
      <c r="H44" s="8">
        <f>IFERROR(I44/G44,0)</f>
        <v/>
      </c>
      <c r="I44" s="8">
        <f>M44</f>
        <v/>
      </c>
      <c r="J44" s="13">
        <f>IFERROR(K44/G44,0)</f>
        <v/>
      </c>
      <c r="K44" s="8">
        <f>K42-K43</f>
        <v/>
      </c>
      <c r="L44" s="8">
        <f>$C$7</f>
        <v/>
      </c>
      <c r="M44" s="8">
        <f>K44*L44</f>
        <v/>
      </c>
      <c r="N44" s="13">
        <f>IFERROR(O44/G44,0)</f>
        <v/>
      </c>
      <c r="O44" s="8">
        <f>O42-O43</f>
        <v/>
      </c>
    </row>
    <row r="45">
      <c r="F45" s="30" t="inlineStr">
        <is>
          <t>Pebble sorter</t>
        </is>
      </c>
    </row>
    <row r="46">
      <c r="F46" s="9" t="inlineStr">
        <is>
          <t xml:space="preserve">   sorter feed</t>
        </is>
      </c>
      <c r="G46" s="8">
        <f>K46+O46</f>
        <v/>
      </c>
      <c r="H46" s="8">
        <f>IFERROR(I46/G46,0)</f>
        <v/>
      </c>
      <c r="I46" s="8">
        <f>M46</f>
        <v/>
      </c>
      <c r="J46" s="13">
        <f>IFERROR(K46/G46,0)</f>
        <v/>
      </c>
      <c r="K46" s="8">
        <f>K43</f>
        <v/>
      </c>
      <c r="L46" s="8">
        <f>$C$7</f>
        <v/>
      </c>
      <c r="M46" s="8">
        <f>K46*L46</f>
        <v/>
      </c>
      <c r="N46" s="13">
        <f>IFERROR(O46/G46,0)</f>
        <v/>
      </c>
      <c r="O46" s="8">
        <f>O43</f>
        <v/>
      </c>
    </row>
    <row r="47">
      <c r="F47" s="9" t="inlineStr">
        <is>
          <t xml:space="preserve">   rejects</t>
        </is>
      </c>
      <c r="G47" s="8">
        <f>K47+O47</f>
        <v/>
      </c>
      <c r="H47" s="8">
        <f>IFERROR(I47/G47,0)</f>
        <v/>
      </c>
      <c r="I47" s="8">
        <f>M47</f>
        <v/>
      </c>
      <c r="J47" s="13">
        <f>IFERROR(K47/G47,0)</f>
        <v/>
      </c>
      <c r="K47" s="8">
        <f>K46*(1-$C$5)</f>
        <v/>
      </c>
      <c r="L47" s="8">
        <f>$C$7</f>
        <v/>
      </c>
      <c r="M47" s="8">
        <f>K47*L47</f>
        <v/>
      </c>
      <c r="N47" s="13">
        <f>IFERROR(O47/G47,0)</f>
        <v/>
      </c>
      <c r="O47" s="8">
        <f>O46*$C$6</f>
        <v/>
      </c>
    </row>
    <row r="48">
      <c r="F48" s="9" t="inlineStr">
        <is>
          <t xml:space="preserve">   concentrate -&gt; SAG</t>
        </is>
      </c>
      <c r="G48" s="8">
        <f>K48+O48</f>
        <v/>
      </c>
      <c r="H48" s="8">
        <f>IFERROR(I48/G48,0)</f>
        <v/>
      </c>
      <c r="I48" s="8">
        <f>M48</f>
        <v/>
      </c>
      <c r="J48" s="13">
        <f>IFERROR(K48/G48,0)</f>
        <v/>
      </c>
      <c r="K48" s="8">
        <f>K46-K47</f>
        <v/>
      </c>
      <c r="L48" s="8">
        <f>$C$7</f>
        <v/>
      </c>
      <c r="M48" s="8">
        <f>K48*L48</f>
        <v/>
      </c>
      <c r="N48" s="13">
        <f>IFERROR(O48/G48,0)</f>
        <v/>
      </c>
      <c r="O48" s="8">
        <f>O46-O47</f>
        <v/>
      </c>
    </row>
    <row r="52">
      <c r="F52" s="29" t="inlineStr">
        <is>
          <t xml:space="preserve">  RECIRCULATION PASS 4</t>
        </is>
      </c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</row>
    <row r="53">
      <c r="F53" s="9" t="inlineStr">
        <is>
          <t>SAG feed</t>
        </is>
      </c>
      <c r="G53" s="8">
        <f>K53+O53</f>
        <v/>
      </c>
      <c r="H53" s="8">
        <f>IFERROR(I53/G53,0)</f>
        <v/>
      </c>
      <c r="I53" s="8">
        <f>M53</f>
        <v/>
      </c>
      <c r="J53" s="13">
        <f>IFERROR(K53/G53,0)</f>
        <v/>
      </c>
      <c r="K53" s="8">
        <f>K48</f>
        <v/>
      </c>
      <c r="L53" s="8">
        <f>$C$7</f>
        <v/>
      </c>
      <c r="M53" s="8">
        <f>K53*L53</f>
        <v/>
      </c>
      <c r="N53" s="13">
        <f>IFERROR(O53/G53,0)</f>
        <v/>
      </c>
      <c r="O53" s="8">
        <f>O48</f>
        <v/>
      </c>
    </row>
    <row r="54">
      <c r="F54" s="9" t="inlineStr">
        <is>
          <t>SAG discharge</t>
        </is>
      </c>
      <c r="G54" s="8">
        <f>K54+O54</f>
        <v/>
      </c>
      <c r="H54" s="8">
        <f>IFERROR(I54/G54,0)</f>
        <v/>
      </c>
      <c r="I54" s="8">
        <f>M54</f>
        <v/>
      </c>
      <c r="J54" s="13">
        <f>IFERROR(K54/G54,0)</f>
        <v/>
      </c>
      <c r="K54" s="8">
        <f>K53</f>
        <v/>
      </c>
      <c r="L54" s="8">
        <f>$C$7</f>
        <v/>
      </c>
      <c r="M54" s="8">
        <f>K54*L54</f>
        <v/>
      </c>
      <c r="N54" s="13">
        <f>IFERROR(O54/G54,0)</f>
        <v/>
      </c>
      <c r="O54" s="8">
        <f>O53</f>
        <v/>
      </c>
    </row>
    <row r="55">
      <c r="F55" s="30" t="inlineStr">
        <is>
          <t>Mill discharge screen</t>
        </is>
      </c>
    </row>
    <row r="56">
      <c r="F56" s="9" t="inlineStr">
        <is>
          <t xml:space="preserve">   screen feed</t>
        </is>
      </c>
      <c r="G56" s="8">
        <f>K56+O56</f>
        <v/>
      </c>
      <c r="H56" s="8">
        <f>IFERROR(I56/G56,0)</f>
        <v/>
      </c>
      <c r="I56" s="8">
        <f>M56</f>
        <v/>
      </c>
      <c r="J56" s="13">
        <f>IFERROR(K56/G56,0)</f>
        <v/>
      </c>
      <c r="K56" s="8">
        <f>K54</f>
        <v/>
      </c>
      <c r="L56" s="8">
        <f>$C$7</f>
        <v/>
      </c>
      <c r="M56" s="8">
        <f>K56*L56</f>
        <v/>
      </c>
      <c r="N56" s="13">
        <f>IFERROR(O56/G56,0)</f>
        <v/>
      </c>
      <c r="O56" s="8">
        <f>O54</f>
        <v/>
      </c>
    </row>
    <row r="57">
      <c r="F57" s="9" t="inlineStr">
        <is>
          <t xml:space="preserve">   oversize (scats)</t>
        </is>
      </c>
      <c r="G57" s="8">
        <f>K57+O57</f>
        <v/>
      </c>
      <c r="H57" s="8">
        <f>IFERROR(I57/G57,0)</f>
        <v/>
      </c>
      <c r="I57" s="8">
        <f>M57</f>
        <v/>
      </c>
      <c r="J57" s="13">
        <f>IFERROR(K57/G57,0)</f>
        <v/>
      </c>
      <c r="K57" s="8">
        <f>K56*$C$3</f>
        <v/>
      </c>
      <c r="L57" s="8">
        <f>$C$7</f>
        <v/>
      </c>
      <c r="M57" s="8">
        <f>K57*L57</f>
        <v/>
      </c>
      <c r="N57" s="13">
        <f>IFERROR(O57/G57,0)</f>
        <v/>
      </c>
      <c r="O57" s="8">
        <f>O56*$C$4</f>
        <v/>
      </c>
    </row>
    <row r="58">
      <c r="F58" s="9" t="inlineStr">
        <is>
          <t xml:space="preserve">   undersize</t>
        </is>
      </c>
      <c r="G58" s="8">
        <f>K58+O58</f>
        <v/>
      </c>
      <c r="H58" s="8">
        <f>IFERROR(I58/G58,0)</f>
        <v/>
      </c>
      <c r="I58" s="8">
        <f>M58</f>
        <v/>
      </c>
      <c r="J58" s="13">
        <f>IFERROR(K58/G58,0)</f>
        <v/>
      </c>
      <c r="K58" s="8">
        <f>K56-K57</f>
        <v/>
      </c>
      <c r="L58" s="8">
        <f>$C$7</f>
        <v/>
      </c>
      <c r="M58" s="8">
        <f>K58*L58</f>
        <v/>
      </c>
      <c r="N58" s="13">
        <f>IFERROR(O58/G58,0)</f>
        <v/>
      </c>
      <c r="O58" s="8">
        <f>O56-O57</f>
        <v/>
      </c>
    </row>
    <row r="59">
      <c r="F59" s="30" t="inlineStr">
        <is>
          <t>Pebble sorter</t>
        </is>
      </c>
    </row>
    <row r="60">
      <c r="F60" s="9" t="inlineStr">
        <is>
          <t xml:space="preserve">   sorter feed</t>
        </is>
      </c>
      <c r="G60" s="8">
        <f>K60+O60</f>
        <v/>
      </c>
      <c r="H60" s="8">
        <f>IFERROR(I60/G60,0)</f>
        <v/>
      </c>
      <c r="I60" s="8">
        <f>M60</f>
        <v/>
      </c>
      <c r="J60" s="13">
        <f>IFERROR(K60/G60,0)</f>
        <v/>
      </c>
      <c r="K60" s="8">
        <f>K57</f>
        <v/>
      </c>
      <c r="L60" s="8">
        <f>$C$7</f>
        <v/>
      </c>
      <c r="M60" s="8">
        <f>K60*L60</f>
        <v/>
      </c>
      <c r="N60" s="13">
        <f>IFERROR(O60/G60,0)</f>
        <v/>
      </c>
      <c r="O60" s="8">
        <f>O57</f>
        <v/>
      </c>
    </row>
    <row r="61">
      <c r="F61" s="9" t="inlineStr">
        <is>
          <t xml:space="preserve">   rejects</t>
        </is>
      </c>
      <c r="G61" s="8">
        <f>K61+O61</f>
        <v/>
      </c>
      <c r="H61" s="8">
        <f>IFERROR(I61/G61,0)</f>
        <v/>
      </c>
      <c r="I61" s="8">
        <f>M61</f>
        <v/>
      </c>
      <c r="J61" s="13">
        <f>IFERROR(K61/G61,0)</f>
        <v/>
      </c>
      <c r="K61" s="8">
        <f>K60*(1-$C$5)</f>
        <v/>
      </c>
      <c r="L61" s="8">
        <f>$C$7</f>
        <v/>
      </c>
      <c r="M61" s="8">
        <f>K61*L61</f>
        <v/>
      </c>
      <c r="N61" s="13">
        <f>IFERROR(O61/G61,0)</f>
        <v/>
      </c>
      <c r="O61" s="8">
        <f>O60*$C$6</f>
        <v/>
      </c>
    </row>
    <row r="62">
      <c r="F62" s="9" t="inlineStr">
        <is>
          <t xml:space="preserve">   concentrate -&gt; SAG</t>
        </is>
      </c>
      <c r="G62" s="8">
        <f>K62+O62</f>
        <v/>
      </c>
      <c r="H62" s="8">
        <f>IFERROR(I62/G62,0)</f>
        <v/>
      </c>
      <c r="I62" s="8">
        <f>M62</f>
        <v/>
      </c>
      <c r="J62" s="13">
        <f>IFERROR(K62/G62,0)</f>
        <v/>
      </c>
      <c r="K62" s="8">
        <f>K60-K61</f>
        <v/>
      </c>
      <c r="L62" s="8">
        <f>$C$7</f>
        <v/>
      </c>
      <c r="M62" s="8">
        <f>K62*L62</f>
        <v/>
      </c>
      <c r="N62" s="13">
        <f>IFERROR(O62/G62,0)</f>
        <v/>
      </c>
      <c r="O62" s="8">
        <f>O60-O61</f>
        <v/>
      </c>
    </row>
    <row r="66">
      <c r="F66" s="29" t="inlineStr">
        <is>
          <t xml:space="preserve">  RECIRCULATION PASS 5</t>
        </is>
      </c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</row>
    <row r="67">
      <c r="F67" s="9" t="inlineStr">
        <is>
          <t>SAG feed</t>
        </is>
      </c>
      <c r="G67" s="8">
        <f>K67+O67</f>
        <v/>
      </c>
      <c r="H67" s="8">
        <f>IFERROR(I67/G67,0)</f>
        <v/>
      </c>
      <c r="I67" s="8">
        <f>M67</f>
        <v/>
      </c>
      <c r="J67" s="13">
        <f>IFERROR(K67/G67,0)</f>
        <v/>
      </c>
      <c r="K67" s="8">
        <f>K62</f>
        <v/>
      </c>
      <c r="L67" s="8">
        <f>$C$7</f>
        <v/>
      </c>
      <c r="M67" s="8">
        <f>K67*L67</f>
        <v/>
      </c>
      <c r="N67" s="13">
        <f>IFERROR(O67/G67,0)</f>
        <v/>
      </c>
      <c r="O67" s="8">
        <f>O62</f>
        <v/>
      </c>
    </row>
    <row r="68">
      <c r="F68" s="9" t="inlineStr">
        <is>
          <t>SAG discharge</t>
        </is>
      </c>
      <c r="G68" s="8">
        <f>K68+O68</f>
        <v/>
      </c>
      <c r="H68" s="8">
        <f>IFERROR(I68/G68,0)</f>
        <v/>
      </c>
      <c r="I68" s="8">
        <f>M68</f>
        <v/>
      </c>
      <c r="J68" s="13">
        <f>IFERROR(K68/G68,0)</f>
        <v/>
      </c>
      <c r="K68" s="8">
        <f>K67</f>
        <v/>
      </c>
      <c r="L68" s="8">
        <f>$C$7</f>
        <v/>
      </c>
      <c r="M68" s="8">
        <f>K68*L68</f>
        <v/>
      </c>
      <c r="N68" s="13">
        <f>IFERROR(O68/G68,0)</f>
        <v/>
      </c>
      <c r="O68" s="8">
        <f>O67</f>
        <v/>
      </c>
    </row>
    <row r="69">
      <c r="F69" s="30" t="inlineStr">
        <is>
          <t>Mill discharge screen</t>
        </is>
      </c>
    </row>
    <row r="70">
      <c r="F70" s="9" t="inlineStr">
        <is>
          <t xml:space="preserve">   screen feed</t>
        </is>
      </c>
      <c r="G70" s="8">
        <f>K70+O70</f>
        <v/>
      </c>
      <c r="H70" s="8">
        <f>IFERROR(I70/G70,0)</f>
        <v/>
      </c>
      <c r="I70" s="8">
        <f>M70</f>
        <v/>
      </c>
      <c r="J70" s="13">
        <f>IFERROR(K70/G70,0)</f>
        <v/>
      </c>
      <c r="K70" s="8">
        <f>K68</f>
        <v/>
      </c>
      <c r="L70" s="8">
        <f>$C$7</f>
        <v/>
      </c>
      <c r="M70" s="8">
        <f>K70*L70</f>
        <v/>
      </c>
      <c r="N70" s="13">
        <f>IFERROR(O70/G70,0)</f>
        <v/>
      </c>
      <c r="O70" s="8">
        <f>O68</f>
        <v/>
      </c>
    </row>
    <row r="71">
      <c r="F71" s="9" t="inlineStr">
        <is>
          <t xml:space="preserve">   oversize (scats)</t>
        </is>
      </c>
      <c r="G71" s="8">
        <f>K71+O71</f>
        <v/>
      </c>
      <c r="H71" s="8">
        <f>IFERROR(I71/G71,0)</f>
        <v/>
      </c>
      <c r="I71" s="8">
        <f>M71</f>
        <v/>
      </c>
      <c r="J71" s="13">
        <f>IFERROR(K71/G71,0)</f>
        <v/>
      </c>
      <c r="K71" s="8">
        <f>K70*$C$3</f>
        <v/>
      </c>
      <c r="L71" s="8">
        <f>$C$7</f>
        <v/>
      </c>
      <c r="M71" s="8">
        <f>K71*L71</f>
        <v/>
      </c>
      <c r="N71" s="13">
        <f>IFERROR(O71/G71,0)</f>
        <v/>
      </c>
      <c r="O71" s="8">
        <f>O70*$C$4</f>
        <v/>
      </c>
    </row>
    <row r="72">
      <c r="F72" s="9" t="inlineStr">
        <is>
          <t xml:space="preserve">   undersize</t>
        </is>
      </c>
      <c r="G72" s="8">
        <f>K72+O72</f>
        <v/>
      </c>
      <c r="H72" s="8">
        <f>IFERROR(I72/G72,0)</f>
        <v/>
      </c>
      <c r="I72" s="8">
        <f>M72</f>
        <v/>
      </c>
      <c r="J72" s="13">
        <f>IFERROR(K72/G72,0)</f>
        <v/>
      </c>
      <c r="K72" s="8">
        <f>K70-K71</f>
        <v/>
      </c>
      <c r="L72" s="8">
        <f>$C$7</f>
        <v/>
      </c>
      <c r="M72" s="8">
        <f>K72*L72</f>
        <v/>
      </c>
      <c r="N72" s="13">
        <f>IFERROR(O72/G72,0)</f>
        <v/>
      </c>
      <c r="O72" s="8">
        <f>O70-O71</f>
        <v/>
      </c>
    </row>
    <row r="73">
      <c r="F73" s="30" t="inlineStr">
        <is>
          <t>Pebble sorter</t>
        </is>
      </c>
    </row>
    <row r="74">
      <c r="F74" s="9" t="inlineStr">
        <is>
          <t xml:space="preserve">   sorter feed</t>
        </is>
      </c>
      <c r="G74" s="8">
        <f>K74+O74</f>
        <v/>
      </c>
      <c r="H74" s="8">
        <f>IFERROR(I74/G74,0)</f>
        <v/>
      </c>
      <c r="I74" s="8">
        <f>M74</f>
        <v/>
      </c>
      <c r="J74" s="13">
        <f>IFERROR(K74/G74,0)</f>
        <v/>
      </c>
      <c r="K74" s="8">
        <f>K71</f>
        <v/>
      </c>
      <c r="L74" s="8">
        <f>$C$7</f>
        <v/>
      </c>
      <c r="M74" s="8">
        <f>K74*L74</f>
        <v/>
      </c>
      <c r="N74" s="13">
        <f>IFERROR(O74/G74,0)</f>
        <v/>
      </c>
      <c r="O74" s="8">
        <f>O71</f>
        <v/>
      </c>
    </row>
    <row r="75">
      <c r="F75" s="9" t="inlineStr">
        <is>
          <t xml:space="preserve">   rejects</t>
        </is>
      </c>
      <c r="G75" s="8">
        <f>K75+O75</f>
        <v/>
      </c>
      <c r="H75" s="8">
        <f>IFERROR(I75/G75,0)</f>
        <v/>
      </c>
      <c r="I75" s="8">
        <f>M75</f>
        <v/>
      </c>
      <c r="J75" s="13">
        <f>IFERROR(K75/G75,0)</f>
        <v/>
      </c>
      <c r="K75" s="8">
        <f>K74*(1-$C$5)</f>
        <v/>
      </c>
      <c r="L75" s="8">
        <f>$C$7</f>
        <v/>
      </c>
      <c r="M75" s="8">
        <f>K75*L75</f>
        <v/>
      </c>
      <c r="N75" s="13">
        <f>IFERROR(O75/G75,0)</f>
        <v/>
      </c>
      <c r="O75" s="8">
        <f>O74*$C$6</f>
        <v/>
      </c>
    </row>
    <row r="76">
      <c r="F76" s="9" t="inlineStr">
        <is>
          <t xml:space="preserve">   concentrate -&gt; SAG</t>
        </is>
      </c>
      <c r="G76" s="8">
        <f>K76+O76</f>
        <v/>
      </c>
      <c r="H76" s="8">
        <f>IFERROR(I76/G76,0)</f>
        <v/>
      </c>
      <c r="I76" s="8">
        <f>M76</f>
        <v/>
      </c>
      <c r="J76" s="13">
        <f>IFERROR(K76/G76,0)</f>
        <v/>
      </c>
      <c r="K76" s="8">
        <f>K74-K75</f>
        <v/>
      </c>
      <c r="L76" s="8">
        <f>$C$7</f>
        <v/>
      </c>
      <c r="M76" s="8">
        <f>K76*L76</f>
        <v/>
      </c>
      <c r="N76" s="13">
        <f>IFERROR(O76/G76,0)</f>
        <v/>
      </c>
      <c r="O76" s="8">
        <f>O74-O75</f>
        <v/>
      </c>
    </row>
    <row r="80">
      <c r="F80" s="29" t="inlineStr">
        <is>
          <t xml:space="preserve">  RECIRCULATION PASS 6</t>
        </is>
      </c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</row>
    <row r="81">
      <c r="F81" s="9" t="inlineStr">
        <is>
          <t>SAG feed</t>
        </is>
      </c>
      <c r="G81" s="8">
        <f>K81+O81</f>
        <v/>
      </c>
      <c r="H81" s="8">
        <f>IFERROR(I81/G81,0)</f>
        <v/>
      </c>
      <c r="I81" s="8">
        <f>M81</f>
        <v/>
      </c>
      <c r="J81" s="13">
        <f>IFERROR(K81/G81,0)</f>
        <v/>
      </c>
      <c r="K81" s="8">
        <f>K76</f>
        <v/>
      </c>
      <c r="L81" s="8">
        <f>$C$7</f>
        <v/>
      </c>
      <c r="M81" s="8">
        <f>K81*L81</f>
        <v/>
      </c>
      <c r="N81" s="13">
        <f>IFERROR(O81/G81,0)</f>
        <v/>
      </c>
      <c r="O81" s="8">
        <f>O76</f>
        <v/>
      </c>
    </row>
    <row r="82">
      <c r="F82" s="9" t="inlineStr">
        <is>
          <t>SAG discharge</t>
        </is>
      </c>
      <c r="G82" s="8">
        <f>K82+O82</f>
        <v/>
      </c>
      <c r="H82" s="8">
        <f>IFERROR(I82/G82,0)</f>
        <v/>
      </c>
      <c r="I82" s="8">
        <f>M82</f>
        <v/>
      </c>
      <c r="J82" s="13">
        <f>IFERROR(K82/G82,0)</f>
        <v/>
      </c>
      <c r="K82" s="8">
        <f>K81</f>
        <v/>
      </c>
      <c r="L82" s="8">
        <f>$C$7</f>
        <v/>
      </c>
      <c r="M82" s="8">
        <f>K82*L82</f>
        <v/>
      </c>
      <c r="N82" s="13">
        <f>IFERROR(O82/G82,0)</f>
        <v/>
      </c>
      <c r="O82" s="8">
        <f>O81</f>
        <v/>
      </c>
    </row>
    <row r="83">
      <c r="F83" s="30" t="inlineStr">
        <is>
          <t>Mill discharge screen</t>
        </is>
      </c>
    </row>
    <row r="84">
      <c r="F84" s="9" t="inlineStr">
        <is>
          <t xml:space="preserve">   screen feed</t>
        </is>
      </c>
      <c r="G84" s="8">
        <f>K84+O84</f>
        <v/>
      </c>
      <c r="H84" s="8">
        <f>IFERROR(I84/G84,0)</f>
        <v/>
      </c>
      <c r="I84" s="8">
        <f>M84</f>
        <v/>
      </c>
      <c r="J84" s="13">
        <f>IFERROR(K84/G84,0)</f>
        <v/>
      </c>
      <c r="K84" s="8">
        <f>K82</f>
        <v/>
      </c>
      <c r="L84" s="8">
        <f>$C$7</f>
        <v/>
      </c>
      <c r="M84" s="8">
        <f>K84*L84</f>
        <v/>
      </c>
      <c r="N84" s="13">
        <f>IFERROR(O84/G84,0)</f>
        <v/>
      </c>
      <c r="O84" s="8">
        <f>O82</f>
        <v/>
      </c>
    </row>
    <row r="85">
      <c r="F85" s="9" t="inlineStr">
        <is>
          <t xml:space="preserve">   oversize (scats)</t>
        </is>
      </c>
      <c r="G85" s="8">
        <f>K85+O85</f>
        <v/>
      </c>
      <c r="H85" s="8">
        <f>IFERROR(I85/G85,0)</f>
        <v/>
      </c>
      <c r="I85" s="8">
        <f>M85</f>
        <v/>
      </c>
      <c r="J85" s="13">
        <f>IFERROR(K85/G85,0)</f>
        <v/>
      </c>
      <c r="K85" s="8">
        <f>K84*$C$3</f>
        <v/>
      </c>
      <c r="L85" s="8">
        <f>$C$7</f>
        <v/>
      </c>
      <c r="M85" s="8">
        <f>K85*L85</f>
        <v/>
      </c>
      <c r="N85" s="13">
        <f>IFERROR(O85/G85,0)</f>
        <v/>
      </c>
      <c r="O85" s="8">
        <f>O84*$C$4</f>
        <v/>
      </c>
    </row>
    <row r="86">
      <c r="F86" s="9" t="inlineStr">
        <is>
          <t xml:space="preserve">   undersize</t>
        </is>
      </c>
      <c r="G86" s="8">
        <f>K86+O86</f>
        <v/>
      </c>
      <c r="H86" s="8">
        <f>IFERROR(I86/G86,0)</f>
        <v/>
      </c>
      <c r="I86" s="8">
        <f>M86</f>
        <v/>
      </c>
      <c r="J86" s="13">
        <f>IFERROR(K86/G86,0)</f>
        <v/>
      </c>
      <c r="K86" s="8">
        <f>K84-K85</f>
        <v/>
      </c>
      <c r="L86" s="8">
        <f>$C$7</f>
        <v/>
      </c>
      <c r="M86" s="8">
        <f>K86*L86</f>
        <v/>
      </c>
      <c r="N86" s="13">
        <f>IFERROR(O86/G86,0)</f>
        <v/>
      </c>
      <c r="O86" s="8">
        <f>O84-O85</f>
        <v/>
      </c>
    </row>
    <row r="87">
      <c r="F87" s="30" t="inlineStr">
        <is>
          <t>Pebble sorter</t>
        </is>
      </c>
    </row>
    <row r="88">
      <c r="F88" s="9" t="inlineStr">
        <is>
          <t xml:space="preserve">   sorter feed</t>
        </is>
      </c>
      <c r="G88" s="8">
        <f>K88+O88</f>
        <v/>
      </c>
      <c r="H88" s="8">
        <f>IFERROR(I88/G88,0)</f>
        <v/>
      </c>
      <c r="I88" s="8">
        <f>M88</f>
        <v/>
      </c>
      <c r="J88" s="13">
        <f>IFERROR(K88/G88,0)</f>
        <v/>
      </c>
      <c r="K88" s="8">
        <f>K85</f>
        <v/>
      </c>
      <c r="L88" s="8">
        <f>$C$7</f>
        <v/>
      </c>
      <c r="M88" s="8">
        <f>K88*L88</f>
        <v/>
      </c>
      <c r="N88" s="13">
        <f>IFERROR(O88/G88,0)</f>
        <v/>
      </c>
      <c r="O88" s="8">
        <f>O85</f>
        <v/>
      </c>
    </row>
    <row r="89">
      <c r="F89" s="9" t="inlineStr">
        <is>
          <t xml:space="preserve">   rejects</t>
        </is>
      </c>
      <c r="G89" s="8">
        <f>K89+O89</f>
        <v/>
      </c>
      <c r="H89" s="8">
        <f>IFERROR(I89/G89,0)</f>
        <v/>
      </c>
      <c r="I89" s="8">
        <f>M89</f>
        <v/>
      </c>
      <c r="J89" s="13">
        <f>IFERROR(K89/G89,0)</f>
        <v/>
      </c>
      <c r="K89" s="8">
        <f>K88*(1-$C$5)</f>
        <v/>
      </c>
      <c r="L89" s="8">
        <f>$C$7</f>
        <v/>
      </c>
      <c r="M89" s="8">
        <f>K89*L89</f>
        <v/>
      </c>
      <c r="N89" s="13">
        <f>IFERROR(O89/G89,0)</f>
        <v/>
      </c>
      <c r="O89" s="8">
        <f>O88*$C$6</f>
        <v/>
      </c>
    </row>
    <row r="90">
      <c r="F90" s="9" t="inlineStr">
        <is>
          <t xml:space="preserve">   concentrate -&gt; SAG</t>
        </is>
      </c>
      <c r="G90" s="8">
        <f>K90+O90</f>
        <v/>
      </c>
      <c r="H90" s="8">
        <f>IFERROR(I90/G90,0)</f>
        <v/>
      </c>
      <c r="I90" s="8">
        <f>M90</f>
        <v/>
      </c>
      <c r="J90" s="13">
        <f>IFERROR(K90/G90,0)</f>
        <v/>
      </c>
      <c r="K90" s="8">
        <f>K88-K89</f>
        <v/>
      </c>
      <c r="L90" s="8">
        <f>$C$7</f>
        <v/>
      </c>
      <c r="M90" s="8">
        <f>K90*L90</f>
        <v/>
      </c>
      <c r="N90" s="13">
        <f>IFERROR(O90/G90,0)</f>
        <v/>
      </c>
      <c r="O90" s="8">
        <f>O88-O89</f>
        <v/>
      </c>
    </row>
    <row r="98">
      <c r="F98" s="4" t="inlineStr">
        <is>
          <t xml:space="preserve">  CIRCUIT TOTAL</t>
        </is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F99" s="7" t="inlineStr">
        <is>
          <t>SAG MILL FEED (total load)</t>
        </is>
      </c>
      <c r="G99" s="8">
        <f>K99+O99</f>
        <v/>
      </c>
      <c r="H99" s="8">
        <f>IFERROR(I99/G99,0)</f>
        <v/>
      </c>
      <c r="I99" s="8">
        <f>M99</f>
        <v/>
      </c>
      <c r="J99" s="13">
        <f>IFERROR(K99/G99,0)</f>
        <v/>
      </c>
      <c r="K99" s="8">
        <f>K11+K25+K39+K53+K67+K81</f>
        <v/>
      </c>
      <c r="L99" s="8">
        <f>$C$7</f>
        <v/>
      </c>
      <c r="M99" s="8">
        <f>K99*L99</f>
        <v/>
      </c>
      <c r="N99" s="13">
        <f>IFERROR(O99/G99,0)</f>
        <v/>
      </c>
      <c r="O99" s="8">
        <f>O11+O25+O39+O53+O67+O81</f>
        <v/>
      </c>
    </row>
    <row r="100">
      <c r="F100" s="9" t="inlineStr">
        <is>
          <t>SAG mill discharge</t>
        </is>
      </c>
      <c r="G100" s="8">
        <f>K100+O100</f>
        <v/>
      </c>
      <c r="H100" s="8">
        <f>IFERROR(I100/G100,0)</f>
        <v/>
      </c>
      <c r="I100" s="8">
        <f>M100</f>
        <v/>
      </c>
      <c r="J100" s="13">
        <f>IFERROR(K100/G100,0)</f>
        <v/>
      </c>
      <c r="K100" s="8">
        <f>K99</f>
        <v/>
      </c>
      <c r="L100" s="8">
        <f>$C$7</f>
        <v/>
      </c>
      <c r="M100" s="8">
        <f>K100*L100</f>
        <v/>
      </c>
      <c r="N100" s="13">
        <f>IFERROR(O100/G100,0)</f>
        <v/>
      </c>
      <c r="O100" s="8">
        <f>O99</f>
        <v/>
      </c>
    </row>
    <row r="101">
      <c r="F101" s="30" t="inlineStr">
        <is>
          <t>Mill discharge screen</t>
        </is>
      </c>
    </row>
    <row r="102">
      <c r="F102" s="9" t="inlineStr">
        <is>
          <t xml:space="preserve">   screen feed</t>
        </is>
      </c>
      <c r="G102" s="8">
        <f>K102+O102</f>
        <v/>
      </c>
      <c r="H102" s="8">
        <f>IFERROR(I102/G102,0)</f>
        <v/>
      </c>
      <c r="I102" s="8">
        <f>M102</f>
        <v/>
      </c>
      <c r="J102" s="13">
        <f>IFERROR(K102/G102,0)</f>
        <v/>
      </c>
      <c r="K102" s="8">
        <f>K100</f>
        <v/>
      </c>
      <c r="L102" s="8">
        <f>$C$7</f>
        <v/>
      </c>
      <c r="M102" s="8">
        <f>K102*L102</f>
        <v/>
      </c>
      <c r="N102" s="13">
        <f>IFERROR(O102/G102,0)</f>
        <v/>
      </c>
      <c r="O102" s="8">
        <f>O100</f>
        <v/>
      </c>
    </row>
    <row r="103">
      <c r="F103" s="9" t="inlineStr">
        <is>
          <t xml:space="preserve">   oversize (scats)</t>
        </is>
      </c>
      <c r="G103" s="8">
        <f>K103+O103</f>
        <v/>
      </c>
      <c r="H103" s="8">
        <f>IFERROR(I103/G103,0)</f>
        <v/>
      </c>
      <c r="I103" s="8">
        <f>M103</f>
        <v/>
      </c>
      <c r="J103" s="13">
        <f>IFERROR(K103/G103,0)</f>
        <v/>
      </c>
      <c r="K103" s="8">
        <f>K102*$C$3</f>
        <v/>
      </c>
      <c r="L103" s="8">
        <f>$C$7</f>
        <v/>
      </c>
      <c r="M103" s="8">
        <f>K103*L103</f>
        <v/>
      </c>
      <c r="N103" s="13">
        <f>IFERROR(O103/G103,0)</f>
        <v/>
      </c>
      <c r="O103" s="8">
        <f>O102*$C$4</f>
        <v/>
      </c>
    </row>
    <row r="104">
      <c r="F104" s="7" t="inlineStr">
        <is>
          <t xml:space="preserve">   UNDERSIZE -&gt; ball mill / leach</t>
        </is>
      </c>
      <c r="G104" s="31">
        <f>K104+O104</f>
        <v/>
      </c>
      <c r="H104" s="31">
        <f>IFERROR(I104/G104,0)</f>
        <v/>
      </c>
      <c r="I104" s="31">
        <f>M104</f>
        <v/>
      </c>
      <c r="J104" s="32">
        <f>IFERROR(K104/G104,0)</f>
        <v/>
      </c>
      <c r="K104" s="31">
        <f>K102-K103</f>
        <v/>
      </c>
      <c r="L104" s="31">
        <f>$C$7</f>
        <v/>
      </c>
      <c r="M104" s="31">
        <f>K104*L104</f>
        <v/>
      </c>
      <c r="N104" s="32">
        <f>IFERROR(O104/G104,0)</f>
        <v/>
      </c>
      <c r="O104" s="31">
        <f>O102-O103</f>
        <v/>
      </c>
    </row>
    <row r="105">
      <c r="F105" s="30" t="inlineStr">
        <is>
          <t>Pebble sorter</t>
        </is>
      </c>
    </row>
    <row r="106">
      <c r="F106" s="7" t="inlineStr">
        <is>
          <t xml:space="preserve">   SORTER FEED</t>
        </is>
      </c>
      <c r="G106" s="33">
        <f>K106+O106</f>
        <v/>
      </c>
      <c r="H106" s="33">
        <f>IFERROR(I106/G106,0)</f>
        <v/>
      </c>
      <c r="I106" s="33">
        <f>M106</f>
        <v/>
      </c>
      <c r="J106" s="19">
        <f>IFERROR(K106/G106,0)</f>
        <v/>
      </c>
      <c r="K106" s="33">
        <f>K103</f>
        <v/>
      </c>
      <c r="L106" s="33">
        <f>$C$7</f>
        <v/>
      </c>
      <c r="M106" s="33">
        <f>K106*L106</f>
        <v/>
      </c>
      <c r="N106" s="19">
        <f>IFERROR(O106/G106,0)</f>
        <v/>
      </c>
      <c r="O106" s="33">
        <f>O103</f>
        <v/>
      </c>
    </row>
    <row r="107">
      <c r="F107" s="7" t="inlineStr">
        <is>
          <t xml:space="preserve">   REJECTS -&gt; waste dump</t>
        </is>
      </c>
      <c r="G107" s="33">
        <f>K107+O107</f>
        <v/>
      </c>
      <c r="H107" s="33">
        <f>IFERROR(I107/G107,0)</f>
        <v/>
      </c>
      <c r="I107" s="33">
        <f>M107</f>
        <v/>
      </c>
      <c r="J107" s="19">
        <f>IFERROR(K107/G107,0)</f>
        <v/>
      </c>
      <c r="K107" s="33">
        <f>K106*(1-$C$5)</f>
        <v/>
      </c>
      <c r="L107" s="33">
        <f>$C$7</f>
        <v/>
      </c>
      <c r="M107" s="33">
        <f>K107*L107</f>
        <v/>
      </c>
      <c r="N107" s="19">
        <f>IFERROR(O107/G107,0)</f>
        <v/>
      </c>
      <c r="O107" s="33">
        <f>O106*$C$6</f>
        <v/>
      </c>
    </row>
    <row r="108">
      <c r="F108" s="7" t="inlineStr">
        <is>
          <t xml:space="preserve">   CONCENTRATE -&gt; SAG</t>
        </is>
      </c>
      <c r="G108" s="8">
        <f>K108+O108</f>
        <v/>
      </c>
      <c r="H108" s="8">
        <f>IFERROR(I108/G108,0)</f>
        <v/>
      </c>
      <c r="I108" s="8">
        <f>M108</f>
        <v/>
      </c>
      <c r="J108" s="13">
        <f>IFERROR(K108/G108,0)</f>
        <v/>
      </c>
      <c r="K108" s="8">
        <f>K106-K107</f>
        <v/>
      </c>
      <c r="L108" s="8">
        <f>$C$7</f>
        <v/>
      </c>
      <c r="M108" s="8">
        <f>K108*L108</f>
        <v/>
      </c>
      <c r="N108" s="13">
        <f>IFERROR(O108/G108,0)</f>
        <v/>
      </c>
      <c r="O108" s="8">
        <f>O106-O107</f>
        <v/>
      </c>
    </row>
    <row r="111">
      <c r="B111" s="4" t="inlineStr">
        <is>
          <t xml:space="preserve">  SORTER PERFORMANCE</t>
        </is>
      </c>
      <c r="C111" s="4" t="n"/>
      <c r="D111" s="4" t="n"/>
      <c r="E111" s="4" t="n"/>
      <c r="F111" s="4" t="n"/>
      <c r="G111" s="4" t="n"/>
      <c r="H111" s="4" t="n"/>
    </row>
    <row r="112">
      <c r="B112" s="7" t="inlineStr">
        <is>
          <t>Mass pull to rejects</t>
        </is>
      </c>
      <c r="C112" s="13">
        <f>IFERROR(G107/G106,0)</f>
        <v/>
      </c>
      <c r="D112" s="9" t="inlineStr"/>
    </row>
    <row r="113">
      <c r="B113" s="7" t="inlineStr">
        <is>
          <t>Au recovery to concentrate</t>
        </is>
      </c>
      <c r="C113" s="13">
        <f>IFERROR(I108/I106,1)</f>
        <v/>
      </c>
      <c r="D113" s="9" t="inlineStr"/>
    </row>
    <row r="114">
      <c r="B114" s="7" t="inlineStr">
        <is>
          <t>Upgrade ratio (conc / feed)</t>
        </is>
      </c>
      <c r="C114" s="15">
        <f>IFERROR(H108/H106,1)</f>
        <v/>
      </c>
      <c r="D114" s="9" t="inlineStr">
        <is>
          <t>x</t>
        </is>
      </c>
    </row>
    <row r="115">
      <c r="B115" s="7" t="inlineStr">
        <is>
          <t>Au lost to rejects</t>
        </is>
      </c>
      <c r="C115" s="34">
        <f>I107</f>
        <v/>
      </c>
      <c r="D115" s="9" t="inlineStr">
        <is>
          <t>g/h</t>
        </is>
      </c>
    </row>
    <row r="116">
      <c r="B116" s="7" t="inlineStr">
        <is>
          <t>Recoverable value discarded</t>
        </is>
      </c>
      <c r="C116" s="11">
        <f>I107*Dashboard!C13*Dashboard!C15</f>
        <v/>
      </c>
      <c r="D116" s="9" t="inlineStr">
        <is>
          <t>$/h</t>
        </is>
      </c>
    </row>
    <row r="117">
      <c r="B117" s="7" t="inlineStr">
        <is>
          <t>In-situ value of reject stream</t>
        </is>
      </c>
      <c r="C117" s="34">
        <f>H107*Dashboard!C13*Dashboard!C15</f>
        <v/>
      </c>
      <c r="D117" s="9" t="inlineStr">
        <is>
          <t>$/t</t>
        </is>
      </c>
    </row>
    <row r="118">
      <c r="B118" s="7" t="inlineStr">
        <is>
          <t>Cost avoided per reject tonne</t>
        </is>
      </c>
      <c r="C118" s="34">
        <f>Dashboard!C18-Dashboard!C20</f>
        <v/>
      </c>
      <c r="D118" s="9" t="inlineStr">
        <is>
          <t>$/t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1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1" customWidth="1" min="3" max="3"/>
    <col width="7" customWidth="1" min="4" max="4"/>
    <col width="2" customWidth="1" min="5" max="5"/>
    <col width="30" customWidth="1" min="6" max="6"/>
    <col width="11" customWidth="1" min="7" max="7"/>
    <col width="10" customWidth="1" min="8" max="8"/>
    <col width="11" customWidth="1" min="9" max="9"/>
    <col width="9" customWidth="1" min="10" max="10"/>
    <col width="10" customWidth="1" min="11" max="11"/>
    <col width="10" customWidth="1" min="12" max="12"/>
    <col width="11" customWidth="1" min="13" max="13"/>
    <col width="9" customWidth="1" min="14" max="14"/>
    <col width="10" customWidth="1" min="15" max="15"/>
  </cols>
  <sheetData>
    <row r="1">
      <c r="B1" s="4" t="inlineStr">
        <is>
          <t xml:space="preserve">  MB Sort   |   sorting case - barren scat mass rejected, freed SAG capacity refilled with ROM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B2" s="5" t="inlineStr">
        <is>
          <t>Assumption</t>
        </is>
      </c>
      <c r="C2" s="5" t="inlineStr">
        <is>
          <t>Value</t>
        </is>
      </c>
      <c r="D2" s="5" t="inlineStr">
        <is>
          <t>Unit</t>
        </is>
      </c>
      <c r="F2" s="5" t="inlineStr">
        <is>
          <t>Stream</t>
        </is>
      </c>
      <c r="G2" s="6" t="inlineStr">
        <is>
          <t>Mass t/h</t>
        </is>
      </c>
      <c r="H2" s="6" t="inlineStr">
        <is>
          <t>Au g/t</t>
        </is>
      </c>
      <c r="I2" s="6" t="inlineStr">
        <is>
          <t>Au g/h</t>
        </is>
      </c>
      <c r="J2" s="6" t="inlineStr">
        <is>
          <t>Ore %</t>
        </is>
      </c>
      <c r="K2" s="6" t="inlineStr">
        <is>
          <t>Ore t/h</t>
        </is>
      </c>
      <c r="L2" s="6" t="inlineStr">
        <is>
          <t>Ore g/t</t>
        </is>
      </c>
      <c r="M2" s="6" t="inlineStr">
        <is>
          <t>Ore Au g/h</t>
        </is>
      </c>
      <c r="N2" s="6" t="inlineStr">
        <is>
          <t>Waste %</t>
        </is>
      </c>
      <c r="O2" s="6" t="inlineStr">
        <is>
          <t>Waste t/h</t>
        </is>
      </c>
    </row>
    <row r="3">
      <c r="B3" s="9" t="inlineStr">
        <is>
          <t>Mass yield ore -&gt; oversize</t>
        </is>
      </c>
      <c r="C3" s="26">
        <f>Dashboard!C25</f>
        <v/>
      </c>
      <c r="D3" s="9" t="inlineStr"/>
    </row>
    <row r="4">
      <c r="B4" s="9" t="inlineStr">
        <is>
          <t>Mass yield waste -&gt; oversize</t>
        </is>
      </c>
      <c r="C4" s="26">
        <f>Dashboard!C26</f>
        <v/>
      </c>
      <c r="D4" s="9" t="inlineStr"/>
    </row>
    <row r="5">
      <c r="B5" s="9" t="inlineStr">
        <is>
          <t>Sorter ore recovery</t>
        </is>
      </c>
      <c r="C5" s="13">
        <f>Dashboard!C29</f>
        <v/>
      </c>
      <c r="D5" s="9" t="inlineStr"/>
      <c r="F5" s="7" t="inlineStr">
        <is>
          <t>PLANT FEED (new ROM)</t>
        </is>
      </c>
      <c r="G5" s="27">
        <f>K5+O5</f>
        <v/>
      </c>
      <c r="H5" s="27">
        <f>IFERROR(I5/G5,0)</f>
        <v/>
      </c>
      <c r="I5" s="27">
        <f>M5</f>
        <v/>
      </c>
      <c r="J5" s="28">
        <f>IFERROR(K5/G5,0)</f>
        <v/>
      </c>
      <c r="K5" s="27">
        <f>(Dashboard!C10+Dashboard!C35*Dashboard!C36)*(1-$C$8)</f>
        <v/>
      </c>
      <c r="L5" s="27">
        <f>$C$7</f>
        <v/>
      </c>
      <c r="M5" s="27">
        <f>K5*L5</f>
        <v/>
      </c>
      <c r="N5" s="28">
        <f>IFERROR(O5/G5,0)</f>
        <v/>
      </c>
      <c r="O5" s="27">
        <f>(Dashboard!C10+Dashboard!C35*Dashboard!C36)*$C$8</f>
        <v/>
      </c>
    </row>
    <row r="6">
      <c r="B6" s="9" t="inlineStr">
        <is>
          <t>Waste mass to rejects</t>
        </is>
      </c>
      <c r="C6" s="13">
        <f>Dashboard!C30</f>
        <v/>
      </c>
      <c r="D6" s="9" t="inlineStr"/>
    </row>
    <row r="7">
      <c r="B7" s="9" t="inlineStr">
        <is>
          <t>Undiluted ore grade</t>
        </is>
      </c>
      <c r="C7" s="15">
        <f>Dashboard!C24</f>
        <v/>
      </c>
      <c r="D7" s="9" t="inlineStr">
        <is>
          <t>g/t</t>
        </is>
      </c>
    </row>
    <row r="8">
      <c r="B8" s="9" t="inlineStr">
        <is>
          <t>Waste dilution</t>
        </is>
      </c>
      <c r="C8" s="13">
        <f>Dashboard!C23</f>
        <v/>
      </c>
      <c r="D8" s="9" t="inlineStr"/>
    </row>
    <row r="10">
      <c r="F10" s="29" t="inlineStr">
        <is>
          <t xml:space="preserve">  RECIRCULATION PASS 1</t>
        </is>
      </c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</row>
    <row r="11">
      <c r="F11" s="9" t="inlineStr">
        <is>
          <t>SAG feed</t>
        </is>
      </c>
      <c r="G11" s="8">
        <f>K11+O11</f>
        <v/>
      </c>
      <c r="H11" s="8">
        <f>IFERROR(I11/G11,0)</f>
        <v/>
      </c>
      <c r="I11" s="8">
        <f>M11</f>
        <v/>
      </c>
      <c r="J11" s="13">
        <f>IFERROR(K11/G11,0)</f>
        <v/>
      </c>
      <c r="K11" s="8">
        <f>K5</f>
        <v/>
      </c>
      <c r="L11" s="8">
        <f>$C$7</f>
        <v/>
      </c>
      <c r="M11" s="8">
        <f>K11*L11</f>
        <v/>
      </c>
      <c r="N11" s="13">
        <f>IFERROR(O11/G11,0)</f>
        <v/>
      </c>
      <c r="O11" s="8">
        <f>O5</f>
        <v/>
      </c>
    </row>
    <row r="12">
      <c r="F12" s="9" t="inlineStr">
        <is>
          <t>SAG discharge</t>
        </is>
      </c>
      <c r="G12" s="8">
        <f>K12+O12</f>
        <v/>
      </c>
      <c r="H12" s="8">
        <f>IFERROR(I12/G12,0)</f>
        <v/>
      </c>
      <c r="I12" s="8">
        <f>M12</f>
        <v/>
      </c>
      <c r="J12" s="13">
        <f>IFERROR(K12/G12,0)</f>
        <v/>
      </c>
      <c r="K12" s="8">
        <f>K11</f>
        <v/>
      </c>
      <c r="L12" s="8">
        <f>$C$7</f>
        <v/>
      </c>
      <c r="M12" s="8">
        <f>K12*L12</f>
        <v/>
      </c>
      <c r="N12" s="13">
        <f>IFERROR(O12/G12,0)</f>
        <v/>
      </c>
      <c r="O12" s="8">
        <f>O11</f>
        <v/>
      </c>
    </row>
    <row r="13">
      <c r="F13" s="30" t="inlineStr">
        <is>
          <t>Mill discharge screen</t>
        </is>
      </c>
    </row>
    <row r="14">
      <c r="F14" s="9" t="inlineStr">
        <is>
          <t xml:space="preserve">   screen feed</t>
        </is>
      </c>
      <c r="G14" s="8">
        <f>K14+O14</f>
        <v/>
      </c>
      <c r="H14" s="8">
        <f>IFERROR(I14/G14,0)</f>
        <v/>
      </c>
      <c r="I14" s="8">
        <f>M14</f>
        <v/>
      </c>
      <c r="J14" s="13">
        <f>IFERROR(K14/G14,0)</f>
        <v/>
      </c>
      <c r="K14" s="8">
        <f>K12</f>
        <v/>
      </c>
      <c r="L14" s="8">
        <f>$C$7</f>
        <v/>
      </c>
      <c r="M14" s="8">
        <f>K14*L14</f>
        <v/>
      </c>
      <c r="N14" s="13">
        <f>IFERROR(O14/G14,0)</f>
        <v/>
      </c>
      <c r="O14" s="8">
        <f>O12</f>
        <v/>
      </c>
    </row>
    <row r="15">
      <c r="F15" s="9" t="inlineStr">
        <is>
          <t xml:space="preserve">   oversize (scats)</t>
        </is>
      </c>
      <c r="G15" s="8">
        <f>K15+O15</f>
        <v/>
      </c>
      <c r="H15" s="8">
        <f>IFERROR(I15/G15,0)</f>
        <v/>
      </c>
      <c r="I15" s="8">
        <f>M15</f>
        <v/>
      </c>
      <c r="J15" s="13">
        <f>IFERROR(K15/G15,0)</f>
        <v/>
      </c>
      <c r="K15" s="8">
        <f>K14*$C$3</f>
        <v/>
      </c>
      <c r="L15" s="8">
        <f>$C$7</f>
        <v/>
      </c>
      <c r="M15" s="8">
        <f>K15*L15</f>
        <v/>
      </c>
      <c r="N15" s="13">
        <f>IFERROR(O15/G15,0)</f>
        <v/>
      </c>
      <c r="O15" s="8">
        <f>O14*$C$4</f>
        <v/>
      </c>
    </row>
    <row r="16">
      <c r="F16" s="9" t="inlineStr">
        <is>
          <t xml:space="preserve">   undersize</t>
        </is>
      </c>
      <c r="G16" s="8">
        <f>K16+O16</f>
        <v/>
      </c>
      <c r="H16" s="8">
        <f>IFERROR(I16/G16,0)</f>
        <v/>
      </c>
      <c r="I16" s="8">
        <f>M16</f>
        <v/>
      </c>
      <c r="J16" s="13">
        <f>IFERROR(K16/G16,0)</f>
        <v/>
      </c>
      <c r="K16" s="8">
        <f>K14-K15</f>
        <v/>
      </c>
      <c r="L16" s="8">
        <f>$C$7</f>
        <v/>
      </c>
      <c r="M16" s="8">
        <f>K16*L16</f>
        <v/>
      </c>
      <c r="N16" s="13">
        <f>IFERROR(O16/G16,0)</f>
        <v/>
      </c>
      <c r="O16" s="8">
        <f>O14-O15</f>
        <v/>
      </c>
    </row>
    <row r="17">
      <c r="F17" s="30" t="inlineStr">
        <is>
          <t>Pebble sorter</t>
        </is>
      </c>
    </row>
    <row r="18">
      <c r="F18" s="9" t="inlineStr">
        <is>
          <t xml:space="preserve">   sorter feed</t>
        </is>
      </c>
      <c r="G18" s="8">
        <f>K18+O18</f>
        <v/>
      </c>
      <c r="H18" s="8">
        <f>IFERROR(I18/G18,0)</f>
        <v/>
      </c>
      <c r="I18" s="8">
        <f>M18</f>
        <v/>
      </c>
      <c r="J18" s="13">
        <f>IFERROR(K18/G18,0)</f>
        <v/>
      </c>
      <c r="K18" s="8">
        <f>K15</f>
        <v/>
      </c>
      <c r="L18" s="8">
        <f>$C$7</f>
        <v/>
      </c>
      <c r="M18" s="8">
        <f>K18*L18</f>
        <v/>
      </c>
      <c r="N18" s="13">
        <f>IFERROR(O18/G18,0)</f>
        <v/>
      </c>
      <c r="O18" s="8">
        <f>O15</f>
        <v/>
      </c>
    </row>
    <row r="19">
      <c r="F19" s="9" t="inlineStr">
        <is>
          <t xml:space="preserve">   rejects</t>
        </is>
      </c>
      <c r="G19" s="8">
        <f>K19+O19</f>
        <v/>
      </c>
      <c r="H19" s="8">
        <f>IFERROR(I19/G19,0)</f>
        <v/>
      </c>
      <c r="I19" s="8">
        <f>M19</f>
        <v/>
      </c>
      <c r="J19" s="13">
        <f>IFERROR(K19/G19,0)</f>
        <v/>
      </c>
      <c r="K19" s="8">
        <f>K18*(1-$C$5)</f>
        <v/>
      </c>
      <c r="L19" s="8">
        <f>$C$7</f>
        <v/>
      </c>
      <c r="M19" s="8">
        <f>K19*L19</f>
        <v/>
      </c>
      <c r="N19" s="13">
        <f>IFERROR(O19/G19,0)</f>
        <v/>
      </c>
      <c r="O19" s="8">
        <f>O18*$C$6</f>
        <v/>
      </c>
    </row>
    <row r="20">
      <c r="F20" s="9" t="inlineStr">
        <is>
          <t xml:space="preserve">   concentrate -&gt; SAG</t>
        </is>
      </c>
      <c r="G20" s="8">
        <f>K20+O20</f>
        <v/>
      </c>
      <c r="H20" s="8">
        <f>IFERROR(I20/G20,0)</f>
        <v/>
      </c>
      <c r="I20" s="8">
        <f>M20</f>
        <v/>
      </c>
      <c r="J20" s="13">
        <f>IFERROR(K20/G20,0)</f>
        <v/>
      </c>
      <c r="K20" s="8">
        <f>K18-K19</f>
        <v/>
      </c>
      <c r="L20" s="8">
        <f>$C$7</f>
        <v/>
      </c>
      <c r="M20" s="8">
        <f>K20*L20</f>
        <v/>
      </c>
      <c r="N20" s="13">
        <f>IFERROR(O20/G20,0)</f>
        <v/>
      </c>
      <c r="O20" s="8">
        <f>O18-O19</f>
        <v/>
      </c>
    </row>
    <row r="24">
      <c r="F24" s="29" t="inlineStr">
        <is>
          <t xml:space="preserve">  RECIRCULATION PASS 2</t>
        </is>
      </c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</row>
    <row r="25">
      <c r="F25" s="9" t="inlineStr">
        <is>
          <t>SAG feed</t>
        </is>
      </c>
      <c r="G25" s="8">
        <f>K25+O25</f>
        <v/>
      </c>
      <c r="H25" s="8">
        <f>IFERROR(I25/G25,0)</f>
        <v/>
      </c>
      <c r="I25" s="8">
        <f>M25</f>
        <v/>
      </c>
      <c r="J25" s="13">
        <f>IFERROR(K25/G25,0)</f>
        <v/>
      </c>
      <c r="K25" s="8">
        <f>K20</f>
        <v/>
      </c>
      <c r="L25" s="8">
        <f>$C$7</f>
        <v/>
      </c>
      <c r="M25" s="8">
        <f>K25*L25</f>
        <v/>
      </c>
      <c r="N25" s="13">
        <f>IFERROR(O25/G25,0)</f>
        <v/>
      </c>
      <c r="O25" s="8">
        <f>O20</f>
        <v/>
      </c>
    </row>
    <row r="26">
      <c r="F26" s="9" t="inlineStr">
        <is>
          <t>SAG discharge</t>
        </is>
      </c>
      <c r="G26" s="8">
        <f>K26+O26</f>
        <v/>
      </c>
      <c r="H26" s="8">
        <f>IFERROR(I26/G26,0)</f>
        <v/>
      </c>
      <c r="I26" s="8">
        <f>M26</f>
        <v/>
      </c>
      <c r="J26" s="13">
        <f>IFERROR(K26/G26,0)</f>
        <v/>
      </c>
      <c r="K26" s="8">
        <f>K25</f>
        <v/>
      </c>
      <c r="L26" s="8">
        <f>$C$7</f>
        <v/>
      </c>
      <c r="M26" s="8">
        <f>K26*L26</f>
        <v/>
      </c>
      <c r="N26" s="13">
        <f>IFERROR(O26/G26,0)</f>
        <v/>
      </c>
      <c r="O26" s="8">
        <f>O25</f>
        <v/>
      </c>
    </row>
    <row r="27">
      <c r="F27" s="30" t="inlineStr">
        <is>
          <t>Mill discharge screen</t>
        </is>
      </c>
    </row>
    <row r="28">
      <c r="F28" s="9" t="inlineStr">
        <is>
          <t xml:space="preserve">   screen feed</t>
        </is>
      </c>
      <c r="G28" s="8">
        <f>K28+O28</f>
        <v/>
      </c>
      <c r="H28" s="8">
        <f>IFERROR(I28/G28,0)</f>
        <v/>
      </c>
      <c r="I28" s="8">
        <f>M28</f>
        <v/>
      </c>
      <c r="J28" s="13">
        <f>IFERROR(K28/G28,0)</f>
        <v/>
      </c>
      <c r="K28" s="8">
        <f>K26</f>
        <v/>
      </c>
      <c r="L28" s="8">
        <f>$C$7</f>
        <v/>
      </c>
      <c r="M28" s="8">
        <f>K28*L28</f>
        <v/>
      </c>
      <c r="N28" s="13">
        <f>IFERROR(O28/G28,0)</f>
        <v/>
      </c>
      <c r="O28" s="8">
        <f>O26</f>
        <v/>
      </c>
    </row>
    <row r="29">
      <c r="F29" s="9" t="inlineStr">
        <is>
          <t xml:space="preserve">   oversize (scats)</t>
        </is>
      </c>
      <c r="G29" s="8">
        <f>K29+O29</f>
        <v/>
      </c>
      <c r="H29" s="8">
        <f>IFERROR(I29/G29,0)</f>
        <v/>
      </c>
      <c r="I29" s="8">
        <f>M29</f>
        <v/>
      </c>
      <c r="J29" s="13">
        <f>IFERROR(K29/G29,0)</f>
        <v/>
      </c>
      <c r="K29" s="8">
        <f>K28*$C$3</f>
        <v/>
      </c>
      <c r="L29" s="8">
        <f>$C$7</f>
        <v/>
      </c>
      <c r="M29" s="8">
        <f>K29*L29</f>
        <v/>
      </c>
      <c r="N29" s="13">
        <f>IFERROR(O29/G29,0)</f>
        <v/>
      </c>
      <c r="O29" s="8">
        <f>O28*$C$4</f>
        <v/>
      </c>
    </row>
    <row r="30">
      <c r="F30" s="9" t="inlineStr">
        <is>
          <t xml:space="preserve">   undersize</t>
        </is>
      </c>
      <c r="G30" s="8">
        <f>K30+O30</f>
        <v/>
      </c>
      <c r="H30" s="8">
        <f>IFERROR(I30/G30,0)</f>
        <v/>
      </c>
      <c r="I30" s="8">
        <f>M30</f>
        <v/>
      </c>
      <c r="J30" s="13">
        <f>IFERROR(K30/G30,0)</f>
        <v/>
      </c>
      <c r="K30" s="8">
        <f>K28-K29</f>
        <v/>
      </c>
      <c r="L30" s="8">
        <f>$C$7</f>
        <v/>
      </c>
      <c r="M30" s="8">
        <f>K30*L30</f>
        <v/>
      </c>
      <c r="N30" s="13">
        <f>IFERROR(O30/G30,0)</f>
        <v/>
      </c>
      <c r="O30" s="8">
        <f>O28-O29</f>
        <v/>
      </c>
    </row>
    <row r="31">
      <c r="F31" s="30" t="inlineStr">
        <is>
          <t>Pebble sorter</t>
        </is>
      </c>
    </row>
    <row r="32">
      <c r="F32" s="9" t="inlineStr">
        <is>
          <t xml:space="preserve">   sorter feed</t>
        </is>
      </c>
      <c r="G32" s="8">
        <f>K32+O32</f>
        <v/>
      </c>
      <c r="H32" s="8">
        <f>IFERROR(I32/G32,0)</f>
        <v/>
      </c>
      <c r="I32" s="8">
        <f>M32</f>
        <v/>
      </c>
      <c r="J32" s="13">
        <f>IFERROR(K32/G32,0)</f>
        <v/>
      </c>
      <c r="K32" s="8">
        <f>K29</f>
        <v/>
      </c>
      <c r="L32" s="8">
        <f>$C$7</f>
        <v/>
      </c>
      <c r="M32" s="8">
        <f>K32*L32</f>
        <v/>
      </c>
      <c r="N32" s="13">
        <f>IFERROR(O32/G32,0)</f>
        <v/>
      </c>
      <c r="O32" s="8">
        <f>O29</f>
        <v/>
      </c>
    </row>
    <row r="33">
      <c r="F33" s="9" t="inlineStr">
        <is>
          <t xml:space="preserve">   rejects</t>
        </is>
      </c>
      <c r="G33" s="8">
        <f>K33+O33</f>
        <v/>
      </c>
      <c r="H33" s="8">
        <f>IFERROR(I33/G33,0)</f>
        <v/>
      </c>
      <c r="I33" s="8">
        <f>M33</f>
        <v/>
      </c>
      <c r="J33" s="13">
        <f>IFERROR(K33/G33,0)</f>
        <v/>
      </c>
      <c r="K33" s="8">
        <f>K32*(1-$C$5)</f>
        <v/>
      </c>
      <c r="L33" s="8">
        <f>$C$7</f>
        <v/>
      </c>
      <c r="M33" s="8">
        <f>K33*L33</f>
        <v/>
      </c>
      <c r="N33" s="13">
        <f>IFERROR(O33/G33,0)</f>
        <v/>
      </c>
      <c r="O33" s="8">
        <f>O32*$C$6</f>
        <v/>
      </c>
    </row>
    <row r="34">
      <c r="F34" s="9" t="inlineStr">
        <is>
          <t xml:space="preserve">   concentrate -&gt; SAG</t>
        </is>
      </c>
      <c r="G34" s="8">
        <f>K34+O34</f>
        <v/>
      </c>
      <c r="H34" s="8">
        <f>IFERROR(I34/G34,0)</f>
        <v/>
      </c>
      <c r="I34" s="8">
        <f>M34</f>
        <v/>
      </c>
      <c r="J34" s="13">
        <f>IFERROR(K34/G34,0)</f>
        <v/>
      </c>
      <c r="K34" s="8">
        <f>K32-K33</f>
        <v/>
      </c>
      <c r="L34" s="8">
        <f>$C$7</f>
        <v/>
      </c>
      <c r="M34" s="8">
        <f>K34*L34</f>
        <v/>
      </c>
      <c r="N34" s="13">
        <f>IFERROR(O34/G34,0)</f>
        <v/>
      </c>
      <c r="O34" s="8">
        <f>O32-O33</f>
        <v/>
      </c>
    </row>
    <row r="38">
      <c r="F38" s="29" t="inlineStr">
        <is>
          <t xml:space="preserve">  RECIRCULATION PASS 3</t>
        </is>
      </c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</row>
    <row r="39">
      <c r="F39" s="9" t="inlineStr">
        <is>
          <t>SAG feed</t>
        </is>
      </c>
      <c r="G39" s="8">
        <f>K39+O39</f>
        <v/>
      </c>
      <c r="H39" s="8">
        <f>IFERROR(I39/G39,0)</f>
        <v/>
      </c>
      <c r="I39" s="8">
        <f>M39</f>
        <v/>
      </c>
      <c r="J39" s="13">
        <f>IFERROR(K39/G39,0)</f>
        <v/>
      </c>
      <c r="K39" s="8">
        <f>K34</f>
        <v/>
      </c>
      <c r="L39" s="8">
        <f>$C$7</f>
        <v/>
      </c>
      <c r="M39" s="8">
        <f>K39*L39</f>
        <v/>
      </c>
      <c r="N39" s="13">
        <f>IFERROR(O39/G39,0)</f>
        <v/>
      </c>
      <c r="O39" s="8">
        <f>O34</f>
        <v/>
      </c>
    </row>
    <row r="40">
      <c r="F40" s="9" t="inlineStr">
        <is>
          <t>SAG discharge</t>
        </is>
      </c>
      <c r="G40" s="8">
        <f>K40+O40</f>
        <v/>
      </c>
      <c r="H40" s="8">
        <f>IFERROR(I40/G40,0)</f>
        <v/>
      </c>
      <c r="I40" s="8">
        <f>M40</f>
        <v/>
      </c>
      <c r="J40" s="13">
        <f>IFERROR(K40/G40,0)</f>
        <v/>
      </c>
      <c r="K40" s="8">
        <f>K39</f>
        <v/>
      </c>
      <c r="L40" s="8">
        <f>$C$7</f>
        <v/>
      </c>
      <c r="M40" s="8">
        <f>K40*L40</f>
        <v/>
      </c>
      <c r="N40" s="13">
        <f>IFERROR(O40/G40,0)</f>
        <v/>
      </c>
      <c r="O40" s="8">
        <f>O39</f>
        <v/>
      </c>
    </row>
    <row r="41">
      <c r="F41" s="30" t="inlineStr">
        <is>
          <t>Mill discharge screen</t>
        </is>
      </c>
    </row>
    <row r="42">
      <c r="F42" s="9" t="inlineStr">
        <is>
          <t xml:space="preserve">   screen feed</t>
        </is>
      </c>
      <c r="G42" s="8">
        <f>K42+O42</f>
        <v/>
      </c>
      <c r="H42" s="8">
        <f>IFERROR(I42/G42,0)</f>
        <v/>
      </c>
      <c r="I42" s="8">
        <f>M42</f>
        <v/>
      </c>
      <c r="J42" s="13">
        <f>IFERROR(K42/G42,0)</f>
        <v/>
      </c>
      <c r="K42" s="8">
        <f>K40</f>
        <v/>
      </c>
      <c r="L42" s="8">
        <f>$C$7</f>
        <v/>
      </c>
      <c r="M42" s="8">
        <f>K42*L42</f>
        <v/>
      </c>
      <c r="N42" s="13">
        <f>IFERROR(O42/G42,0)</f>
        <v/>
      </c>
      <c r="O42" s="8">
        <f>O40</f>
        <v/>
      </c>
    </row>
    <row r="43">
      <c r="F43" s="9" t="inlineStr">
        <is>
          <t xml:space="preserve">   oversize (scats)</t>
        </is>
      </c>
      <c r="G43" s="8">
        <f>K43+O43</f>
        <v/>
      </c>
      <c r="H43" s="8">
        <f>IFERROR(I43/G43,0)</f>
        <v/>
      </c>
      <c r="I43" s="8">
        <f>M43</f>
        <v/>
      </c>
      <c r="J43" s="13">
        <f>IFERROR(K43/G43,0)</f>
        <v/>
      </c>
      <c r="K43" s="8">
        <f>K42*$C$3</f>
        <v/>
      </c>
      <c r="L43" s="8">
        <f>$C$7</f>
        <v/>
      </c>
      <c r="M43" s="8">
        <f>K43*L43</f>
        <v/>
      </c>
      <c r="N43" s="13">
        <f>IFERROR(O43/G43,0)</f>
        <v/>
      </c>
      <c r="O43" s="8">
        <f>O42*$C$4</f>
        <v/>
      </c>
    </row>
    <row r="44">
      <c r="F44" s="9" t="inlineStr">
        <is>
          <t xml:space="preserve">   undersize</t>
        </is>
      </c>
      <c r="G44" s="8">
        <f>K44+O44</f>
        <v/>
      </c>
      <c r="H44" s="8">
        <f>IFERROR(I44/G44,0)</f>
        <v/>
      </c>
      <c r="I44" s="8">
        <f>M44</f>
        <v/>
      </c>
      <c r="J44" s="13">
        <f>IFERROR(K44/G44,0)</f>
        <v/>
      </c>
      <c r="K44" s="8">
        <f>K42-K43</f>
        <v/>
      </c>
      <c r="L44" s="8">
        <f>$C$7</f>
        <v/>
      </c>
      <c r="M44" s="8">
        <f>K44*L44</f>
        <v/>
      </c>
      <c r="N44" s="13">
        <f>IFERROR(O44/G44,0)</f>
        <v/>
      </c>
      <c r="O44" s="8">
        <f>O42-O43</f>
        <v/>
      </c>
    </row>
    <row r="45">
      <c r="F45" s="30" t="inlineStr">
        <is>
          <t>Pebble sorter</t>
        </is>
      </c>
    </row>
    <row r="46">
      <c r="F46" s="9" t="inlineStr">
        <is>
          <t xml:space="preserve">   sorter feed</t>
        </is>
      </c>
      <c r="G46" s="8">
        <f>K46+O46</f>
        <v/>
      </c>
      <c r="H46" s="8">
        <f>IFERROR(I46/G46,0)</f>
        <v/>
      </c>
      <c r="I46" s="8">
        <f>M46</f>
        <v/>
      </c>
      <c r="J46" s="13">
        <f>IFERROR(K46/G46,0)</f>
        <v/>
      </c>
      <c r="K46" s="8">
        <f>K43</f>
        <v/>
      </c>
      <c r="L46" s="8">
        <f>$C$7</f>
        <v/>
      </c>
      <c r="M46" s="8">
        <f>K46*L46</f>
        <v/>
      </c>
      <c r="N46" s="13">
        <f>IFERROR(O46/G46,0)</f>
        <v/>
      </c>
      <c r="O46" s="8">
        <f>O43</f>
        <v/>
      </c>
    </row>
    <row r="47">
      <c r="F47" s="9" t="inlineStr">
        <is>
          <t xml:space="preserve">   rejects</t>
        </is>
      </c>
      <c r="G47" s="8">
        <f>K47+O47</f>
        <v/>
      </c>
      <c r="H47" s="8">
        <f>IFERROR(I47/G47,0)</f>
        <v/>
      </c>
      <c r="I47" s="8">
        <f>M47</f>
        <v/>
      </c>
      <c r="J47" s="13">
        <f>IFERROR(K47/G47,0)</f>
        <v/>
      </c>
      <c r="K47" s="8">
        <f>K46*(1-$C$5)</f>
        <v/>
      </c>
      <c r="L47" s="8">
        <f>$C$7</f>
        <v/>
      </c>
      <c r="M47" s="8">
        <f>K47*L47</f>
        <v/>
      </c>
      <c r="N47" s="13">
        <f>IFERROR(O47/G47,0)</f>
        <v/>
      </c>
      <c r="O47" s="8">
        <f>O46*$C$6</f>
        <v/>
      </c>
    </row>
    <row r="48">
      <c r="F48" s="9" t="inlineStr">
        <is>
          <t xml:space="preserve">   concentrate -&gt; SAG</t>
        </is>
      </c>
      <c r="G48" s="8">
        <f>K48+O48</f>
        <v/>
      </c>
      <c r="H48" s="8">
        <f>IFERROR(I48/G48,0)</f>
        <v/>
      </c>
      <c r="I48" s="8">
        <f>M48</f>
        <v/>
      </c>
      <c r="J48" s="13">
        <f>IFERROR(K48/G48,0)</f>
        <v/>
      </c>
      <c r="K48" s="8">
        <f>K46-K47</f>
        <v/>
      </c>
      <c r="L48" s="8">
        <f>$C$7</f>
        <v/>
      </c>
      <c r="M48" s="8">
        <f>K48*L48</f>
        <v/>
      </c>
      <c r="N48" s="13">
        <f>IFERROR(O48/G48,0)</f>
        <v/>
      </c>
      <c r="O48" s="8">
        <f>O46-O47</f>
        <v/>
      </c>
    </row>
    <row r="52">
      <c r="F52" s="29" t="inlineStr">
        <is>
          <t xml:space="preserve">  RECIRCULATION PASS 4</t>
        </is>
      </c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</row>
    <row r="53">
      <c r="F53" s="9" t="inlineStr">
        <is>
          <t>SAG feed</t>
        </is>
      </c>
      <c r="G53" s="8">
        <f>K53+O53</f>
        <v/>
      </c>
      <c r="H53" s="8">
        <f>IFERROR(I53/G53,0)</f>
        <v/>
      </c>
      <c r="I53" s="8">
        <f>M53</f>
        <v/>
      </c>
      <c r="J53" s="13">
        <f>IFERROR(K53/G53,0)</f>
        <v/>
      </c>
      <c r="K53" s="8">
        <f>K48</f>
        <v/>
      </c>
      <c r="L53" s="8">
        <f>$C$7</f>
        <v/>
      </c>
      <c r="M53" s="8">
        <f>K53*L53</f>
        <v/>
      </c>
      <c r="N53" s="13">
        <f>IFERROR(O53/G53,0)</f>
        <v/>
      </c>
      <c r="O53" s="8">
        <f>O48</f>
        <v/>
      </c>
    </row>
    <row r="54">
      <c r="F54" s="9" t="inlineStr">
        <is>
          <t>SAG discharge</t>
        </is>
      </c>
      <c r="G54" s="8">
        <f>K54+O54</f>
        <v/>
      </c>
      <c r="H54" s="8">
        <f>IFERROR(I54/G54,0)</f>
        <v/>
      </c>
      <c r="I54" s="8">
        <f>M54</f>
        <v/>
      </c>
      <c r="J54" s="13">
        <f>IFERROR(K54/G54,0)</f>
        <v/>
      </c>
      <c r="K54" s="8">
        <f>K53</f>
        <v/>
      </c>
      <c r="L54" s="8">
        <f>$C$7</f>
        <v/>
      </c>
      <c r="M54" s="8">
        <f>K54*L54</f>
        <v/>
      </c>
      <c r="N54" s="13">
        <f>IFERROR(O54/G54,0)</f>
        <v/>
      </c>
      <c r="O54" s="8">
        <f>O53</f>
        <v/>
      </c>
    </row>
    <row r="55">
      <c r="F55" s="30" t="inlineStr">
        <is>
          <t>Mill discharge screen</t>
        </is>
      </c>
    </row>
    <row r="56">
      <c r="F56" s="9" t="inlineStr">
        <is>
          <t xml:space="preserve">   screen feed</t>
        </is>
      </c>
      <c r="G56" s="8">
        <f>K56+O56</f>
        <v/>
      </c>
      <c r="H56" s="8">
        <f>IFERROR(I56/G56,0)</f>
        <v/>
      </c>
      <c r="I56" s="8">
        <f>M56</f>
        <v/>
      </c>
      <c r="J56" s="13">
        <f>IFERROR(K56/G56,0)</f>
        <v/>
      </c>
      <c r="K56" s="8">
        <f>K54</f>
        <v/>
      </c>
      <c r="L56" s="8">
        <f>$C$7</f>
        <v/>
      </c>
      <c r="M56" s="8">
        <f>K56*L56</f>
        <v/>
      </c>
      <c r="N56" s="13">
        <f>IFERROR(O56/G56,0)</f>
        <v/>
      </c>
      <c r="O56" s="8">
        <f>O54</f>
        <v/>
      </c>
    </row>
    <row r="57">
      <c r="F57" s="9" t="inlineStr">
        <is>
          <t xml:space="preserve">   oversize (scats)</t>
        </is>
      </c>
      <c r="G57" s="8">
        <f>K57+O57</f>
        <v/>
      </c>
      <c r="H57" s="8">
        <f>IFERROR(I57/G57,0)</f>
        <v/>
      </c>
      <c r="I57" s="8">
        <f>M57</f>
        <v/>
      </c>
      <c r="J57" s="13">
        <f>IFERROR(K57/G57,0)</f>
        <v/>
      </c>
      <c r="K57" s="8">
        <f>K56*$C$3</f>
        <v/>
      </c>
      <c r="L57" s="8">
        <f>$C$7</f>
        <v/>
      </c>
      <c r="M57" s="8">
        <f>K57*L57</f>
        <v/>
      </c>
      <c r="N57" s="13">
        <f>IFERROR(O57/G57,0)</f>
        <v/>
      </c>
      <c r="O57" s="8">
        <f>O56*$C$4</f>
        <v/>
      </c>
    </row>
    <row r="58">
      <c r="F58" s="9" t="inlineStr">
        <is>
          <t xml:space="preserve">   undersize</t>
        </is>
      </c>
      <c r="G58" s="8">
        <f>K58+O58</f>
        <v/>
      </c>
      <c r="H58" s="8">
        <f>IFERROR(I58/G58,0)</f>
        <v/>
      </c>
      <c r="I58" s="8">
        <f>M58</f>
        <v/>
      </c>
      <c r="J58" s="13">
        <f>IFERROR(K58/G58,0)</f>
        <v/>
      </c>
      <c r="K58" s="8">
        <f>K56-K57</f>
        <v/>
      </c>
      <c r="L58" s="8">
        <f>$C$7</f>
        <v/>
      </c>
      <c r="M58" s="8">
        <f>K58*L58</f>
        <v/>
      </c>
      <c r="N58" s="13">
        <f>IFERROR(O58/G58,0)</f>
        <v/>
      </c>
      <c r="O58" s="8">
        <f>O56-O57</f>
        <v/>
      </c>
    </row>
    <row r="59">
      <c r="F59" s="30" t="inlineStr">
        <is>
          <t>Pebble sorter</t>
        </is>
      </c>
    </row>
    <row r="60">
      <c r="F60" s="9" t="inlineStr">
        <is>
          <t xml:space="preserve">   sorter feed</t>
        </is>
      </c>
      <c r="G60" s="8">
        <f>K60+O60</f>
        <v/>
      </c>
      <c r="H60" s="8">
        <f>IFERROR(I60/G60,0)</f>
        <v/>
      </c>
      <c r="I60" s="8">
        <f>M60</f>
        <v/>
      </c>
      <c r="J60" s="13">
        <f>IFERROR(K60/G60,0)</f>
        <v/>
      </c>
      <c r="K60" s="8">
        <f>K57</f>
        <v/>
      </c>
      <c r="L60" s="8">
        <f>$C$7</f>
        <v/>
      </c>
      <c r="M60" s="8">
        <f>K60*L60</f>
        <v/>
      </c>
      <c r="N60" s="13">
        <f>IFERROR(O60/G60,0)</f>
        <v/>
      </c>
      <c r="O60" s="8">
        <f>O57</f>
        <v/>
      </c>
    </row>
    <row r="61">
      <c r="F61" s="9" t="inlineStr">
        <is>
          <t xml:space="preserve">   rejects</t>
        </is>
      </c>
      <c r="G61" s="8">
        <f>K61+O61</f>
        <v/>
      </c>
      <c r="H61" s="8">
        <f>IFERROR(I61/G61,0)</f>
        <v/>
      </c>
      <c r="I61" s="8">
        <f>M61</f>
        <v/>
      </c>
      <c r="J61" s="13">
        <f>IFERROR(K61/G61,0)</f>
        <v/>
      </c>
      <c r="K61" s="8">
        <f>K60*(1-$C$5)</f>
        <v/>
      </c>
      <c r="L61" s="8">
        <f>$C$7</f>
        <v/>
      </c>
      <c r="M61" s="8">
        <f>K61*L61</f>
        <v/>
      </c>
      <c r="N61" s="13">
        <f>IFERROR(O61/G61,0)</f>
        <v/>
      </c>
      <c r="O61" s="8">
        <f>O60*$C$6</f>
        <v/>
      </c>
    </row>
    <row r="62">
      <c r="F62" s="9" t="inlineStr">
        <is>
          <t xml:space="preserve">   concentrate -&gt; SAG</t>
        </is>
      </c>
      <c r="G62" s="8">
        <f>K62+O62</f>
        <v/>
      </c>
      <c r="H62" s="8">
        <f>IFERROR(I62/G62,0)</f>
        <v/>
      </c>
      <c r="I62" s="8">
        <f>M62</f>
        <v/>
      </c>
      <c r="J62" s="13">
        <f>IFERROR(K62/G62,0)</f>
        <v/>
      </c>
      <c r="K62" s="8">
        <f>K60-K61</f>
        <v/>
      </c>
      <c r="L62" s="8">
        <f>$C$7</f>
        <v/>
      </c>
      <c r="M62" s="8">
        <f>K62*L62</f>
        <v/>
      </c>
      <c r="N62" s="13">
        <f>IFERROR(O62/G62,0)</f>
        <v/>
      </c>
      <c r="O62" s="8">
        <f>O60-O61</f>
        <v/>
      </c>
    </row>
    <row r="66">
      <c r="F66" s="29" t="inlineStr">
        <is>
          <t xml:space="preserve">  RECIRCULATION PASS 5</t>
        </is>
      </c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</row>
    <row r="67">
      <c r="F67" s="9" t="inlineStr">
        <is>
          <t>SAG feed</t>
        </is>
      </c>
      <c r="G67" s="8">
        <f>K67+O67</f>
        <v/>
      </c>
      <c r="H67" s="8">
        <f>IFERROR(I67/G67,0)</f>
        <v/>
      </c>
      <c r="I67" s="8">
        <f>M67</f>
        <v/>
      </c>
      <c r="J67" s="13">
        <f>IFERROR(K67/G67,0)</f>
        <v/>
      </c>
      <c r="K67" s="8">
        <f>K62</f>
        <v/>
      </c>
      <c r="L67" s="8">
        <f>$C$7</f>
        <v/>
      </c>
      <c r="M67" s="8">
        <f>K67*L67</f>
        <v/>
      </c>
      <c r="N67" s="13">
        <f>IFERROR(O67/G67,0)</f>
        <v/>
      </c>
      <c r="O67" s="8">
        <f>O62</f>
        <v/>
      </c>
    </row>
    <row r="68">
      <c r="F68" s="9" t="inlineStr">
        <is>
          <t>SAG discharge</t>
        </is>
      </c>
      <c r="G68" s="8">
        <f>K68+O68</f>
        <v/>
      </c>
      <c r="H68" s="8">
        <f>IFERROR(I68/G68,0)</f>
        <v/>
      </c>
      <c r="I68" s="8">
        <f>M68</f>
        <v/>
      </c>
      <c r="J68" s="13">
        <f>IFERROR(K68/G68,0)</f>
        <v/>
      </c>
      <c r="K68" s="8">
        <f>K67</f>
        <v/>
      </c>
      <c r="L68" s="8">
        <f>$C$7</f>
        <v/>
      </c>
      <c r="M68" s="8">
        <f>K68*L68</f>
        <v/>
      </c>
      <c r="N68" s="13">
        <f>IFERROR(O68/G68,0)</f>
        <v/>
      </c>
      <c r="O68" s="8">
        <f>O67</f>
        <v/>
      </c>
    </row>
    <row r="69">
      <c r="F69" s="30" t="inlineStr">
        <is>
          <t>Mill discharge screen</t>
        </is>
      </c>
    </row>
    <row r="70">
      <c r="F70" s="9" t="inlineStr">
        <is>
          <t xml:space="preserve">   screen feed</t>
        </is>
      </c>
      <c r="G70" s="8">
        <f>K70+O70</f>
        <v/>
      </c>
      <c r="H70" s="8">
        <f>IFERROR(I70/G70,0)</f>
        <v/>
      </c>
      <c r="I70" s="8">
        <f>M70</f>
        <v/>
      </c>
      <c r="J70" s="13">
        <f>IFERROR(K70/G70,0)</f>
        <v/>
      </c>
      <c r="K70" s="8">
        <f>K68</f>
        <v/>
      </c>
      <c r="L70" s="8">
        <f>$C$7</f>
        <v/>
      </c>
      <c r="M70" s="8">
        <f>K70*L70</f>
        <v/>
      </c>
      <c r="N70" s="13">
        <f>IFERROR(O70/G70,0)</f>
        <v/>
      </c>
      <c r="O70" s="8">
        <f>O68</f>
        <v/>
      </c>
    </row>
    <row r="71">
      <c r="F71" s="9" t="inlineStr">
        <is>
          <t xml:space="preserve">   oversize (scats)</t>
        </is>
      </c>
      <c r="G71" s="8">
        <f>K71+O71</f>
        <v/>
      </c>
      <c r="H71" s="8">
        <f>IFERROR(I71/G71,0)</f>
        <v/>
      </c>
      <c r="I71" s="8">
        <f>M71</f>
        <v/>
      </c>
      <c r="J71" s="13">
        <f>IFERROR(K71/G71,0)</f>
        <v/>
      </c>
      <c r="K71" s="8">
        <f>K70*$C$3</f>
        <v/>
      </c>
      <c r="L71" s="8">
        <f>$C$7</f>
        <v/>
      </c>
      <c r="M71" s="8">
        <f>K71*L71</f>
        <v/>
      </c>
      <c r="N71" s="13">
        <f>IFERROR(O71/G71,0)</f>
        <v/>
      </c>
      <c r="O71" s="8">
        <f>O70*$C$4</f>
        <v/>
      </c>
    </row>
    <row r="72">
      <c r="F72" s="9" t="inlineStr">
        <is>
          <t xml:space="preserve">   undersize</t>
        </is>
      </c>
      <c r="G72" s="8">
        <f>K72+O72</f>
        <v/>
      </c>
      <c r="H72" s="8">
        <f>IFERROR(I72/G72,0)</f>
        <v/>
      </c>
      <c r="I72" s="8">
        <f>M72</f>
        <v/>
      </c>
      <c r="J72" s="13">
        <f>IFERROR(K72/G72,0)</f>
        <v/>
      </c>
      <c r="K72" s="8">
        <f>K70-K71</f>
        <v/>
      </c>
      <c r="L72" s="8">
        <f>$C$7</f>
        <v/>
      </c>
      <c r="M72" s="8">
        <f>K72*L72</f>
        <v/>
      </c>
      <c r="N72" s="13">
        <f>IFERROR(O72/G72,0)</f>
        <v/>
      </c>
      <c r="O72" s="8">
        <f>O70-O71</f>
        <v/>
      </c>
    </row>
    <row r="73">
      <c r="F73" s="30" t="inlineStr">
        <is>
          <t>Pebble sorter</t>
        </is>
      </c>
    </row>
    <row r="74">
      <c r="F74" s="9" t="inlineStr">
        <is>
          <t xml:space="preserve">   sorter feed</t>
        </is>
      </c>
      <c r="G74" s="8">
        <f>K74+O74</f>
        <v/>
      </c>
      <c r="H74" s="8">
        <f>IFERROR(I74/G74,0)</f>
        <v/>
      </c>
      <c r="I74" s="8">
        <f>M74</f>
        <v/>
      </c>
      <c r="J74" s="13">
        <f>IFERROR(K74/G74,0)</f>
        <v/>
      </c>
      <c r="K74" s="8">
        <f>K71</f>
        <v/>
      </c>
      <c r="L74" s="8">
        <f>$C$7</f>
        <v/>
      </c>
      <c r="M74" s="8">
        <f>K74*L74</f>
        <v/>
      </c>
      <c r="N74" s="13">
        <f>IFERROR(O74/G74,0)</f>
        <v/>
      </c>
      <c r="O74" s="8">
        <f>O71</f>
        <v/>
      </c>
    </row>
    <row r="75">
      <c r="F75" s="9" t="inlineStr">
        <is>
          <t xml:space="preserve">   rejects</t>
        </is>
      </c>
      <c r="G75" s="8">
        <f>K75+O75</f>
        <v/>
      </c>
      <c r="H75" s="8">
        <f>IFERROR(I75/G75,0)</f>
        <v/>
      </c>
      <c r="I75" s="8">
        <f>M75</f>
        <v/>
      </c>
      <c r="J75" s="13">
        <f>IFERROR(K75/G75,0)</f>
        <v/>
      </c>
      <c r="K75" s="8">
        <f>K74*(1-$C$5)</f>
        <v/>
      </c>
      <c r="L75" s="8">
        <f>$C$7</f>
        <v/>
      </c>
      <c r="M75" s="8">
        <f>K75*L75</f>
        <v/>
      </c>
      <c r="N75" s="13">
        <f>IFERROR(O75/G75,0)</f>
        <v/>
      </c>
      <c r="O75" s="8">
        <f>O74*$C$6</f>
        <v/>
      </c>
    </row>
    <row r="76">
      <c r="F76" s="9" t="inlineStr">
        <is>
          <t xml:space="preserve">   concentrate -&gt; SAG</t>
        </is>
      </c>
      <c r="G76" s="8">
        <f>K76+O76</f>
        <v/>
      </c>
      <c r="H76" s="8">
        <f>IFERROR(I76/G76,0)</f>
        <v/>
      </c>
      <c r="I76" s="8">
        <f>M76</f>
        <v/>
      </c>
      <c r="J76" s="13">
        <f>IFERROR(K76/G76,0)</f>
        <v/>
      </c>
      <c r="K76" s="8">
        <f>K74-K75</f>
        <v/>
      </c>
      <c r="L76" s="8">
        <f>$C$7</f>
        <v/>
      </c>
      <c r="M76" s="8">
        <f>K76*L76</f>
        <v/>
      </c>
      <c r="N76" s="13">
        <f>IFERROR(O76/G76,0)</f>
        <v/>
      </c>
      <c r="O76" s="8">
        <f>O74-O75</f>
        <v/>
      </c>
    </row>
    <row r="80">
      <c r="F80" s="29" t="inlineStr">
        <is>
          <t xml:space="preserve">  RECIRCULATION PASS 6</t>
        </is>
      </c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</row>
    <row r="81">
      <c r="F81" s="9" t="inlineStr">
        <is>
          <t>SAG feed</t>
        </is>
      </c>
      <c r="G81" s="8">
        <f>K81+O81</f>
        <v/>
      </c>
      <c r="H81" s="8">
        <f>IFERROR(I81/G81,0)</f>
        <v/>
      </c>
      <c r="I81" s="8">
        <f>M81</f>
        <v/>
      </c>
      <c r="J81" s="13">
        <f>IFERROR(K81/G81,0)</f>
        <v/>
      </c>
      <c r="K81" s="8">
        <f>K76</f>
        <v/>
      </c>
      <c r="L81" s="8">
        <f>$C$7</f>
        <v/>
      </c>
      <c r="M81" s="8">
        <f>K81*L81</f>
        <v/>
      </c>
      <c r="N81" s="13">
        <f>IFERROR(O81/G81,0)</f>
        <v/>
      </c>
      <c r="O81" s="8">
        <f>O76</f>
        <v/>
      </c>
    </row>
    <row r="82">
      <c r="F82" s="9" t="inlineStr">
        <is>
          <t>SAG discharge</t>
        </is>
      </c>
      <c r="G82" s="8">
        <f>K82+O82</f>
        <v/>
      </c>
      <c r="H82" s="8">
        <f>IFERROR(I82/G82,0)</f>
        <v/>
      </c>
      <c r="I82" s="8">
        <f>M82</f>
        <v/>
      </c>
      <c r="J82" s="13">
        <f>IFERROR(K82/G82,0)</f>
        <v/>
      </c>
      <c r="K82" s="8">
        <f>K81</f>
        <v/>
      </c>
      <c r="L82" s="8">
        <f>$C$7</f>
        <v/>
      </c>
      <c r="M82" s="8">
        <f>K82*L82</f>
        <v/>
      </c>
      <c r="N82" s="13">
        <f>IFERROR(O82/G82,0)</f>
        <v/>
      </c>
      <c r="O82" s="8">
        <f>O81</f>
        <v/>
      </c>
    </row>
    <row r="83">
      <c r="F83" s="30" t="inlineStr">
        <is>
          <t>Mill discharge screen</t>
        </is>
      </c>
    </row>
    <row r="84">
      <c r="F84" s="9" t="inlineStr">
        <is>
          <t xml:space="preserve">   screen feed</t>
        </is>
      </c>
      <c r="G84" s="8">
        <f>K84+O84</f>
        <v/>
      </c>
      <c r="H84" s="8">
        <f>IFERROR(I84/G84,0)</f>
        <v/>
      </c>
      <c r="I84" s="8">
        <f>M84</f>
        <v/>
      </c>
      <c r="J84" s="13">
        <f>IFERROR(K84/G84,0)</f>
        <v/>
      </c>
      <c r="K84" s="8">
        <f>K82</f>
        <v/>
      </c>
      <c r="L84" s="8">
        <f>$C$7</f>
        <v/>
      </c>
      <c r="M84" s="8">
        <f>K84*L84</f>
        <v/>
      </c>
      <c r="N84" s="13">
        <f>IFERROR(O84/G84,0)</f>
        <v/>
      </c>
      <c r="O84" s="8">
        <f>O82</f>
        <v/>
      </c>
    </row>
    <row r="85">
      <c r="F85" s="9" t="inlineStr">
        <is>
          <t xml:space="preserve">   oversize (scats)</t>
        </is>
      </c>
      <c r="G85" s="8">
        <f>K85+O85</f>
        <v/>
      </c>
      <c r="H85" s="8">
        <f>IFERROR(I85/G85,0)</f>
        <v/>
      </c>
      <c r="I85" s="8">
        <f>M85</f>
        <v/>
      </c>
      <c r="J85" s="13">
        <f>IFERROR(K85/G85,0)</f>
        <v/>
      </c>
      <c r="K85" s="8">
        <f>K84*$C$3</f>
        <v/>
      </c>
      <c r="L85" s="8">
        <f>$C$7</f>
        <v/>
      </c>
      <c r="M85" s="8">
        <f>K85*L85</f>
        <v/>
      </c>
      <c r="N85" s="13">
        <f>IFERROR(O85/G85,0)</f>
        <v/>
      </c>
      <c r="O85" s="8">
        <f>O84*$C$4</f>
        <v/>
      </c>
    </row>
    <row r="86">
      <c r="F86" s="9" t="inlineStr">
        <is>
          <t xml:space="preserve">   undersize</t>
        </is>
      </c>
      <c r="G86" s="8">
        <f>K86+O86</f>
        <v/>
      </c>
      <c r="H86" s="8">
        <f>IFERROR(I86/G86,0)</f>
        <v/>
      </c>
      <c r="I86" s="8">
        <f>M86</f>
        <v/>
      </c>
      <c r="J86" s="13">
        <f>IFERROR(K86/G86,0)</f>
        <v/>
      </c>
      <c r="K86" s="8">
        <f>K84-K85</f>
        <v/>
      </c>
      <c r="L86" s="8">
        <f>$C$7</f>
        <v/>
      </c>
      <c r="M86" s="8">
        <f>K86*L86</f>
        <v/>
      </c>
      <c r="N86" s="13">
        <f>IFERROR(O86/G86,0)</f>
        <v/>
      </c>
      <c r="O86" s="8">
        <f>O84-O85</f>
        <v/>
      </c>
    </row>
    <row r="87">
      <c r="F87" s="30" t="inlineStr">
        <is>
          <t>Pebble sorter</t>
        </is>
      </c>
    </row>
    <row r="88">
      <c r="F88" s="9" t="inlineStr">
        <is>
          <t xml:space="preserve">   sorter feed</t>
        </is>
      </c>
      <c r="G88" s="8">
        <f>K88+O88</f>
        <v/>
      </c>
      <c r="H88" s="8">
        <f>IFERROR(I88/G88,0)</f>
        <v/>
      </c>
      <c r="I88" s="8">
        <f>M88</f>
        <v/>
      </c>
      <c r="J88" s="13">
        <f>IFERROR(K88/G88,0)</f>
        <v/>
      </c>
      <c r="K88" s="8">
        <f>K85</f>
        <v/>
      </c>
      <c r="L88" s="8">
        <f>$C$7</f>
        <v/>
      </c>
      <c r="M88" s="8">
        <f>K88*L88</f>
        <v/>
      </c>
      <c r="N88" s="13">
        <f>IFERROR(O88/G88,0)</f>
        <v/>
      </c>
      <c r="O88" s="8">
        <f>O85</f>
        <v/>
      </c>
    </row>
    <row r="89">
      <c r="F89" s="9" t="inlineStr">
        <is>
          <t xml:space="preserve">   rejects</t>
        </is>
      </c>
      <c r="G89" s="8">
        <f>K89+O89</f>
        <v/>
      </c>
      <c r="H89" s="8">
        <f>IFERROR(I89/G89,0)</f>
        <v/>
      </c>
      <c r="I89" s="8">
        <f>M89</f>
        <v/>
      </c>
      <c r="J89" s="13">
        <f>IFERROR(K89/G89,0)</f>
        <v/>
      </c>
      <c r="K89" s="8">
        <f>K88*(1-$C$5)</f>
        <v/>
      </c>
      <c r="L89" s="8">
        <f>$C$7</f>
        <v/>
      </c>
      <c r="M89" s="8">
        <f>K89*L89</f>
        <v/>
      </c>
      <c r="N89" s="13">
        <f>IFERROR(O89/G89,0)</f>
        <v/>
      </c>
      <c r="O89" s="8">
        <f>O88*$C$6</f>
        <v/>
      </c>
    </row>
    <row r="90">
      <c r="F90" s="9" t="inlineStr">
        <is>
          <t xml:space="preserve">   concentrate -&gt; SAG</t>
        </is>
      </c>
      <c r="G90" s="8">
        <f>K90+O90</f>
        <v/>
      </c>
      <c r="H90" s="8">
        <f>IFERROR(I90/G90,0)</f>
        <v/>
      </c>
      <c r="I90" s="8">
        <f>M90</f>
        <v/>
      </c>
      <c r="J90" s="13">
        <f>IFERROR(K90/G90,0)</f>
        <v/>
      </c>
      <c r="K90" s="8">
        <f>K88-K89</f>
        <v/>
      </c>
      <c r="L90" s="8">
        <f>$C$7</f>
        <v/>
      </c>
      <c r="M90" s="8">
        <f>K90*L90</f>
        <v/>
      </c>
      <c r="N90" s="13">
        <f>IFERROR(O90/G90,0)</f>
        <v/>
      </c>
      <c r="O90" s="8">
        <f>O88-O89</f>
        <v/>
      </c>
    </row>
    <row r="98">
      <c r="F98" s="4" t="inlineStr">
        <is>
          <t xml:space="preserve">  CIRCUIT TOTAL</t>
        </is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F99" s="7" t="inlineStr">
        <is>
          <t>SAG MILL FEED (total load)</t>
        </is>
      </c>
      <c r="G99" s="8">
        <f>K99+O99</f>
        <v/>
      </c>
      <c r="H99" s="8">
        <f>IFERROR(I99/G99,0)</f>
        <v/>
      </c>
      <c r="I99" s="8">
        <f>M99</f>
        <v/>
      </c>
      <c r="J99" s="13">
        <f>IFERROR(K99/G99,0)</f>
        <v/>
      </c>
      <c r="K99" s="8">
        <f>K11+K25+K39+K53+K67+K81</f>
        <v/>
      </c>
      <c r="L99" s="8">
        <f>$C$7</f>
        <v/>
      </c>
      <c r="M99" s="8">
        <f>K99*L99</f>
        <v/>
      </c>
      <c r="N99" s="13">
        <f>IFERROR(O99/G99,0)</f>
        <v/>
      </c>
      <c r="O99" s="8">
        <f>O11+O25+O39+O53+O67+O81</f>
        <v/>
      </c>
    </row>
    <row r="100">
      <c r="F100" s="9" t="inlineStr">
        <is>
          <t>SAG mill discharge</t>
        </is>
      </c>
      <c r="G100" s="8">
        <f>K100+O100</f>
        <v/>
      </c>
      <c r="H100" s="8">
        <f>IFERROR(I100/G100,0)</f>
        <v/>
      </c>
      <c r="I100" s="8">
        <f>M100</f>
        <v/>
      </c>
      <c r="J100" s="13">
        <f>IFERROR(K100/G100,0)</f>
        <v/>
      </c>
      <c r="K100" s="8">
        <f>K99</f>
        <v/>
      </c>
      <c r="L100" s="8">
        <f>$C$7</f>
        <v/>
      </c>
      <c r="M100" s="8">
        <f>K100*L100</f>
        <v/>
      </c>
      <c r="N100" s="13">
        <f>IFERROR(O100/G100,0)</f>
        <v/>
      </c>
      <c r="O100" s="8">
        <f>O99</f>
        <v/>
      </c>
    </row>
    <row r="101">
      <c r="F101" s="30" t="inlineStr">
        <is>
          <t>Mill discharge screen</t>
        </is>
      </c>
    </row>
    <row r="102">
      <c r="F102" s="9" t="inlineStr">
        <is>
          <t xml:space="preserve">   screen feed</t>
        </is>
      </c>
      <c r="G102" s="8">
        <f>K102+O102</f>
        <v/>
      </c>
      <c r="H102" s="8">
        <f>IFERROR(I102/G102,0)</f>
        <v/>
      </c>
      <c r="I102" s="8">
        <f>M102</f>
        <v/>
      </c>
      <c r="J102" s="13">
        <f>IFERROR(K102/G102,0)</f>
        <v/>
      </c>
      <c r="K102" s="8">
        <f>K100</f>
        <v/>
      </c>
      <c r="L102" s="8">
        <f>$C$7</f>
        <v/>
      </c>
      <c r="M102" s="8">
        <f>K102*L102</f>
        <v/>
      </c>
      <c r="N102" s="13">
        <f>IFERROR(O102/G102,0)</f>
        <v/>
      </c>
      <c r="O102" s="8">
        <f>O100</f>
        <v/>
      </c>
    </row>
    <row r="103">
      <c r="F103" s="9" t="inlineStr">
        <is>
          <t xml:space="preserve">   oversize (scats)</t>
        </is>
      </c>
      <c r="G103" s="8">
        <f>K103+O103</f>
        <v/>
      </c>
      <c r="H103" s="8">
        <f>IFERROR(I103/G103,0)</f>
        <v/>
      </c>
      <c r="I103" s="8">
        <f>M103</f>
        <v/>
      </c>
      <c r="J103" s="13">
        <f>IFERROR(K103/G103,0)</f>
        <v/>
      </c>
      <c r="K103" s="8">
        <f>K102*$C$3</f>
        <v/>
      </c>
      <c r="L103" s="8">
        <f>$C$7</f>
        <v/>
      </c>
      <c r="M103" s="8">
        <f>K103*L103</f>
        <v/>
      </c>
      <c r="N103" s="13">
        <f>IFERROR(O103/G103,0)</f>
        <v/>
      </c>
      <c r="O103" s="8">
        <f>O102*$C$4</f>
        <v/>
      </c>
    </row>
    <row r="104">
      <c r="F104" s="7" t="inlineStr">
        <is>
          <t xml:space="preserve">   UNDERSIZE -&gt; ball mill / leach</t>
        </is>
      </c>
      <c r="G104" s="31">
        <f>K104+O104</f>
        <v/>
      </c>
      <c r="H104" s="31">
        <f>IFERROR(I104/G104,0)</f>
        <v/>
      </c>
      <c r="I104" s="31">
        <f>M104</f>
        <v/>
      </c>
      <c r="J104" s="32">
        <f>IFERROR(K104/G104,0)</f>
        <v/>
      </c>
      <c r="K104" s="31">
        <f>K102-K103</f>
        <v/>
      </c>
      <c r="L104" s="31">
        <f>$C$7</f>
        <v/>
      </c>
      <c r="M104" s="31">
        <f>K104*L104</f>
        <v/>
      </c>
      <c r="N104" s="32">
        <f>IFERROR(O104/G104,0)</f>
        <v/>
      </c>
      <c r="O104" s="31">
        <f>O102-O103</f>
        <v/>
      </c>
    </row>
    <row r="105">
      <c r="F105" s="30" t="inlineStr">
        <is>
          <t>Pebble sorter</t>
        </is>
      </c>
    </row>
    <row r="106">
      <c r="F106" s="7" t="inlineStr">
        <is>
          <t xml:space="preserve">   SORTER FEED</t>
        </is>
      </c>
      <c r="G106" s="33">
        <f>K106+O106</f>
        <v/>
      </c>
      <c r="H106" s="33">
        <f>IFERROR(I106/G106,0)</f>
        <v/>
      </c>
      <c r="I106" s="33">
        <f>M106</f>
        <v/>
      </c>
      <c r="J106" s="19">
        <f>IFERROR(K106/G106,0)</f>
        <v/>
      </c>
      <c r="K106" s="33">
        <f>K103</f>
        <v/>
      </c>
      <c r="L106" s="33">
        <f>$C$7</f>
        <v/>
      </c>
      <c r="M106" s="33">
        <f>K106*L106</f>
        <v/>
      </c>
      <c r="N106" s="19">
        <f>IFERROR(O106/G106,0)</f>
        <v/>
      </c>
      <c r="O106" s="33">
        <f>O103</f>
        <v/>
      </c>
    </row>
    <row r="107">
      <c r="F107" s="7" t="inlineStr">
        <is>
          <t xml:space="preserve">   REJECTS -&gt; waste dump</t>
        </is>
      </c>
      <c r="G107" s="33">
        <f>K107+O107</f>
        <v/>
      </c>
      <c r="H107" s="33">
        <f>IFERROR(I107/G107,0)</f>
        <v/>
      </c>
      <c r="I107" s="33">
        <f>M107</f>
        <v/>
      </c>
      <c r="J107" s="19">
        <f>IFERROR(K107/G107,0)</f>
        <v/>
      </c>
      <c r="K107" s="33">
        <f>K106*(1-$C$5)</f>
        <v/>
      </c>
      <c r="L107" s="33">
        <f>$C$7</f>
        <v/>
      </c>
      <c r="M107" s="33">
        <f>K107*L107</f>
        <v/>
      </c>
      <c r="N107" s="19">
        <f>IFERROR(O107/G107,0)</f>
        <v/>
      </c>
      <c r="O107" s="33">
        <f>O106*$C$6</f>
        <v/>
      </c>
    </row>
    <row r="108">
      <c r="F108" s="7" t="inlineStr">
        <is>
          <t xml:space="preserve">   CONCENTRATE -&gt; SAG</t>
        </is>
      </c>
      <c r="G108" s="8">
        <f>K108+O108</f>
        <v/>
      </c>
      <c r="H108" s="8">
        <f>IFERROR(I108/G108,0)</f>
        <v/>
      </c>
      <c r="I108" s="8">
        <f>M108</f>
        <v/>
      </c>
      <c r="J108" s="13">
        <f>IFERROR(K108/G108,0)</f>
        <v/>
      </c>
      <c r="K108" s="8">
        <f>K106-K107</f>
        <v/>
      </c>
      <c r="L108" s="8">
        <f>$C$7</f>
        <v/>
      </c>
      <c r="M108" s="8">
        <f>K108*L108</f>
        <v/>
      </c>
      <c r="N108" s="13">
        <f>IFERROR(O108/G108,0)</f>
        <v/>
      </c>
      <c r="O108" s="8">
        <f>O106-O107</f>
        <v/>
      </c>
    </row>
    <row r="111">
      <c r="B111" s="4" t="inlineStr">
        <is>
          <t xml:space="preserve">  SORTER PERFORMANCE</t>
        </is>
      </c>
      <c r="C111" s="4" t="n"/>
      <c r="D111" s="4" t="n"/>
      <c r="E111" s="4" t="n"/>
      <c r="F111" s="4" t="n"/>
      <c r="G111" s="4" t="n"/>
      <c r="H111" s="4" t="n"/>
    </row>
    <row r="112">
      <c r="B112" s="7" t="inlineStr">
        <is>
          <t>Mass pull to rejects</t>
        </is>
      </c>
      <c r="C112" s="13">
        <f>IFERROR(G107/G106,0)</f>
        <v/>
      </c>
      <c r="D112" s="9" t="inlineStr"/>
    </row>
    <row r="113">
      <c r="B113" s="7" t="inlineStr">
        <is>
          <t>Au recovery to concentrate</t>
        </is>
      </c>
      <c r="C113" s="13">
        <f>IFERROR(I108/I106,1)</f>
        <v/>
      </c>
      <c r="D113" s="9" t="inlineStr"/>
    </row>
    <row r="114">
      <c r="B114" s="7" t="inlineStr">
        <is>
          <t>Upgrade ratio (conc / feed)</t>
        </is>
      </c>
      <c r="C114" s="15">
        <f>IFERROR(H108/H106,1)</f>
        <v/>
      </c>
      <c r="D114" s="9" t="inlineStr">
        <is>
          <t>x</t>
        </is>
      </c>
    </row>
    <row r="115">
      <c r="B115" s="7" t="inlineStr">
        <is>
          <t>Au lost to rejects</t>
        </is>
      </c>
      <c r="C115" s="34">
        <f>I107</f>
        <v/>
      </c>
      <c r="D115" s="9" t="inlineStr">
        <is>
          <t>g/h</t>
        </is>
      </c>
    </row>
    <row r="116">
      <c r="B116" s="7" t="inlineStr">
        <is>
          <t>Recoverable value discarded</t>
        </is>
      </c>
      <c r="C116" s="11">
        <f>I107*Dashboard!C13*Dashboard!C15</f>
        <v/>
      </c>
      <c r="D116" s="9" t="inlineStr">
        <is>
          <t>$/h</t>
        </is>
      </c>
    </row>
    <row r="117">
      <c r="B117" s="7" t="inlineStr">
        <is>
          <t>In-situ value of reject stream</t>
        </is>
      </c>
      <c r="C117" s="34">
        <f>H107*Dashboard!C13*Dashboard!C15</f>
        <v/>
      </c>
      <c r="D117" s="9" t="inlineStr">
        <is>
          <t>$/t</t>
        </is>
      </c>
    </row>
    <row r="118">
      <c r="B118" s="7" t="inlineStr">
        <is>
          <t>Cost avoided per reject tonne</t>
        </is>
      </c>
      <c r="C118" s="34">
        <f>Dashboard!C18-Dashboard!C20</f>
        <v/>
      </c>
      <c r="D118" s="9" t="inlineStr">
        <is>
          <t>$/t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S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</cols>
  <sheetData>
    <row r="1">
      <c r="A1" s="4" t="inlineStr">
        <is>
          <t xml:space="preserve">  NPV   |   monthly cash flow</t>
        </is>
      </c>
      <c r="B1" s="4" t="n"/>
      <c r="C1" s="4" t="n"/>
      <c r="D1" s="4" t="n"/>
      <c r="E1" s="4" t="n"/>
      <c r="F1" s="4" t="n"/>
      <c r="G1" s="4" t="n"/>
      <c r="H1" s="4" t="n"/>
    </row>
    <row r="3">
      <c r="A3" s="7" t="inlineStr">
        <is>
          <t>CAPEX</t>
        </is>
      </c>
      <c r="B3" s="11">
        <f>Dashboard!C32</f>
        <v/>
      </c>
      <c r="C3" s="3" t="inlineStr">
        <is>
          <t>$</t>
        </is>
      </c>
    </row>
    <row r="4">
      <c r="A4" s="7" t="inlineStr">
        <is>
          <t>Net benefit</t>
        </is>
      </c>
      <c r="B4" s="11">
        <f>Dashboard!K31</f>
        <v/>
      </c>
      <c r="C4" s="3" t="inlineStr">
        <is>
          <t>$/a</t>
        </is>
      </c>
    </row>
    <row r="5">
      <c r="A5" s="7" t="inlineStr">
        <is>
          <t>Discount rate</t>
        </is>
      </c>
      <c r="B5" s="13">
        <f>Dashboard!C16</f>
        <v/>
      </c>
      <c r="C5" s="3" t="inlineStr"/>
    </row>
    <row r="6">
      <c r="A6" s="7" t="inlineStr">
        <is>
          <t>Build period</t>
        </is>
      </c>
      <c r="B6" s="21">
        <f>Dashboard!C33</f>
        <v/>
      </c>
      <c r="C6" s="3" t="inlineStr">
        <is>
          <t>months</t>
        </is>
      </c>
    </row>
    <row r="7">
      <c r="A7" s="7" t="inlineStr">
        <is>
          <t>Evaluation life</t>
        </is>
      </c>
      <c r="B7" s="21">
        <f>Dashboard!C34</f>
        <v/>
      </c>
      <c r="C7" s="3" t="inlineStr">
        <is>
          <t>months</t>
        </is>
      </c>
    </row>
    <row r="8">
      <c r="A8" s="17" t="inlineStr">
        <is>
          <t>NPV</t>
        </is>
      </c>
      <c r="B8" s="20">
        <f>NPV(B5/12,D13:DS13)</f>
        <v/>
      </c>
      <c r="C8" s="3" t="inlineStr">
        <is>
          <t>$</t>
        </is>
      </c>
    </row>
    <row r="9">
      <c r="A9" s="17" t="inlineStr">
        <is>
          <t>IRR (annualised)</t>
        </is>
      </c>
      <c r="B9" s="22">
        <f>IFERROR((1+IRR(D13:DS13))^12-1,"n/a")</f>
        <v/>
      </c>
    </row>
    <row r="10">
      <c r="A10" s="17" t="inlineStr">
        <is>
          <t>Simple payback</t>
        </is>
      </c>
      <c r="B10" s="23">
        <f>IF(B4&gt;0,B3/B4*12,"n/a")</f>
        <v/>
      </c>
      <c r="C10" s="3" t="inlineStr">
        <is>
          <t>months</t>
        </is>
      </c>
    </row>
    <row r="12">
      <c r="A12" s="5" t="inlineStr">
        <is>
          <t>Month</t>
        </is>
      </c>
      <c r="D12" s="35" t="n">
        <v>1</v>
      </c>
      <c r="E12" s="35" t="n">
        <v>2</v>
      </c>
      <c r="F12" s="35" t="n">
        <v>3</v>
      </c>
      <c r="G12" s="35" t="n">
        <v>4</v>
      </c>
      <c r="H12" s="35" t="n">
        <v>5</v>
      </c>
      <c r="I12" s="35" t="n">
        <v>6</v>
      </c>
      <c r="J12" s="35" t="n">
        <v>7</v>
      </c>
      <c r="K12" s="35" t="n">
        <v>8</v>
      </c>
      <c r="L12" s="35" t="n">
        <v>9</v>
      </c>
      <c r="M12" s="35" t="n">
        <v>10</v>
      </c>
      <c r="N12" s="35" t="n">
        <v>11</v>
      </c>
      <c r="O12" s="35" t="n">
        <v>12</v>
      </c>
      <c r="P12" s="35" t="n">
        <v>13</v>
      </c>
      <c r="Q12" s="35" t="n">
        <v>14</v>
      </c>
      <c r="R12" s="35" t="n">
        <v>15</v>
      </c>
      <c r="S12" s="35" t="n">
        <v>16</v>
      </c>
      <c r="T12" s="35" t="n">
        <v>17</v>
      </c>
      <c r="U12" s="35" t="n">
        <v>18</v>
      </c>
      <c r="V12" s="35" t="n">
        <v>19</v>
      </c>
      <c r="W12" s="35" t="n">
        <v>20</v>
      </c>
      <c r="X12" s="35" t="n">
        <v>21</v>
      </c>
      <c r="Y12" s="35" t="n">
        <v>22</v>
      </c>
      <c r="Z12" s="35" t="n">
        <v>23</v>
      </c>
      <c r="AA12" s="35" t="n">
        <v>24</v>
      </c>
      <c r="AB12" s="35" t="n">
        <v>25</v>
      </c>
      <c r="AC12" s="35" t="n">
        <v>26</v>
      </c>
      <c r="AD12" s="35" t="n">
        <v>27</v>
      </c>
      <c r="AE12" s="35" t="n">
        <v>28</v>
      </c>
      <c r="AF12" s="35" t="n">
        <v>29</v>
      </c>
      <c r="AG12" s="35" t="n">
        <v>30</v>
      </c>
      <c r="AH12" s="35" t="n">
        <v>31</v>
      </c>
      <c r="AI12" s="35" t="n">
        <v>32</v>
      </c>
      <c r="AJ12" s="35" t="n">
        <v>33</v>
      </c>
      <c r="AK12" s="35" t="n">
        <v>34</v>
      </c>
      <c r="AL12" s="35" t="n">
        <v>35</v>
      </c>
      <c r="AM12" s="35" t="n">
        <v>36</v>
      </c>
      <c r="AN12" s="35" t="n">
        <v>37</v>
      </c>
      <c r="AO12" s="35" t="n">
        <v>38</v>
      </c>
      <c r="AP12" s="35" t="n">
        <v>39</v>
      </c>
      <c r="AQ12" s="35" t="n">
        <v>40</v>
      </c>
      <c r="AR12" s="35" t="n">
        <v>41</v>
      </c>
      <c r="AS12" s="35" t="n">
        <v>42</v>
      </c>
      <c r="AT12" s="35" t="n">
        <v>43</v>
      </c>
      <c r="AU12" s="35" t="n">
        <v>44</v>
      </c>
      <c r="AV12" s="35" t="n">
        <v>45</v>
      </c>
      <c r="AW12" s="35" t="n">
        <v>46</v>
      </c>
      <c r="AX12" s="35" t="n">
        <v>47</v>
      </c>
      <c r="AY12" s="35" t="n">
        <v>48</v>
      </c>
      <c r="AZ12" s="35" t="n">
        <v>49</v>
      </c>
      <c r="BA12" s="35" t="n">
        <v>50</v>
      </c>
      <c r="BB12" s="35" t="n">
        <v>51</v>
      </c>
      <c r="BC12" s="35" t="n">
        <v>52</v>
      </c>
      <c r="BD12" s="35" t="n">
        <v>53</v>
      </c>
      <c r="BE12" s="35" t="n">
        <v>54</v>
      </c>
      <c r="BF12" s="35" t="n">
        <v>55</v>
      </c>
      <c r="BG12" s="35" t="n">
        <v>56</v>
      </c>
      <c r="BH12" s="35" t="n">
        <v>57</v>
      </c>
      <c r="BI12" s="35" t="n">
        <v>58</v>
      </c>
      <c r="BJ12" s="35" t="n">
        <v>59</v>
      </c>
      <c r="BK12" s="35" t="n">
        <v>60</v>
      </c>
      <c r="BL12" s="35" t="n">
        <v>61</v>
      </c>
      <c r="BM12" s="35" t="n">
        <v>62</v>
      </c>
      <c r="BN12" s="35" t="n">
        <v>63</v>
      </c>
      <c r="BO12" s="35" t="n">
        <v>64</v>
      </c>
      <c r="BP12" s="35" t="n">
        <v>65</v>
      </c>
      <c r="BQ12" s="35" t="n">
        <v>66</v>
      </c>
      <c r="BR12" s="35" t="n">
        <v>67</v>
      </c>
      <c r="BS12" s="35" t="n">
        <v>68</v>
      </c>
      <c r="BT12" s="35" t="n">
        <v>69</v>
      </c>
      <c r="BU12" s="35" t="n">
        <v>70</v>
      </c>
      <c r="BV12" s="35" t="n">
        <v>71</v>
      </c>
      <c r="BW12" s="35" t="n">
        <v>72</v>
      </c>
      <c r="BX12" s="35" t="n">
        <v>73</v>
      </c>
      <c r="BY12" s="35" t="n">
        <v>74</v>
      </c>
      <c r="BZ12" s="35" t="n">
        <v>75</v>
      </c>
      <c r="CA12" s="35" t="n">
        <v>76</v>
      </c>
      <c r="CB12" s="35" t="n">
        <v>77</v>
      </c>
      <c r="CC12" s="35" t="n">
        <v>78</v>
      </c>
      <c r="CD12" s="35" t="n">
        <v>79</v>
      </c>
      <c r="CE12" s="35" t="n">
        <v>80</v>
      </c>
      <c r="CF12" s="35" t="n">
        <v>81</v>
      </c>
      <c r="CG12" s="35" t="n">
        <v>82</v>
      </c>
      <c r="CH12" s="35" t="n">
        <v>83</v>
      </c>
      <c r="CI12" s="35" t="n">
        <v>84</v>
      </c>
      <c r="CJ12" s="35" t="n">
        <v>85</v>
      </c>
      <c r="CK12" s="35" t="n">
        <v>86</v>
      </c>
      <c r="CL12" s="35" t="n">
        <v>87</v>
      </c>
      <c r="CM12" s="35" t="n">
        <v>88</v>
      </c>
      <c r="CN12" s="35" t="n">
        <v>89</v>
      </c>
      <c r="CO12" s="35" t="n">
        <v>90</v>
      </c>
      <c r="CP12" s="35" t="n">
        <v>91</v>
      </c>
      <c r="CQ12" s="35" t="n">
        <v>92</v>
      </c>
      <c r="CR12" s="35" t="n">
        <v>93</v>
      </c>
      <c r="CS12" s="35" t="n">
        <v>94</v>
      </c>
      <c r="CT12" s="35" t="n">
        <v>95</v>
      </c>
      <c r="CU12" s="35" t="n">
        <v>96</v>
      </c>
      <c r="CV12" s="35" t="n">
        <v>97</v>
      </c>
      <c r="CW12" s="35" t="n">
        <v>98</v>
      </c>
      <c r="CX12" s="35" t="n">
        <v>99</v>
      </c>
      <c r="CY12" s="35" t="n">
        <v>100</v>
      </c>
      <c r="CZ12" s="35" t="n">
        <v>101</v>
      </c>
      <c r="DA12" s="35" t="n">
        <v>102</v>
      </c>
      <c r="DB12" s="35" t="n">
        <v>103</v>
      </c>
      <c r="DC12" s="35" t="n">
        <v>104</v>
      </c>
      <c r="DD12" s="35" t="n">
        <v>105</v>
      </c>
      <c r="DE12" s="35" t="n">
        <v>106</v>
      </c>
      <c r="DF12" s="35" t="n">
        <v>107</v>
      </c>
      <c r="DG12" s="35" t="n">
        <v>108</v>
      </c>
      <c r="DH12" s="35" t="n">
        <v>109</v>
      </c>
      <c r="DI12" s="35" t="n">
        <v>110</v>
      </c>
      <c r="DJ12" s="35" t="n">
        <v>111</v>
      </c>
      <c r="DK12" s="35" t="n">
        <v>112</v>
      </c>
      <c r="DL12" s="35" t="n">
        <v>113</v>
      </c>
      <c r="DM12" s="35" t="n">
        <v>114</v>
      </c>
      <c r="DN12" s="35" t="n">
        <v>115</v>
      </c>
      <c r="DO12" s="35" t="n">
        <v>116</v>
      </c>
      <c r="DP12" s="35" t="n">
        <v>117</v>
      </c>
      <c r="DQ12" s="35" t="n">
        <v>118</v>
      </c>
      <c r="DR12" s="35" t="n">
        <v>119</v>
      </c>
      <c r="DS12" s="35" t="n">
        <v>120</v>
      </c>
    </row>
    <row r="13">
      <c r="A13" s="5" t="inlineStr">
        <is>
          <t>Net cash flow</t>
        </is>
      </c>
      <c r="D13" s="11">
        <f>IF(D$12=1,-$B$3,0)+IF(AND(D$12&gt;$B$6,D$12&lt;=$B$6+$B$7),$B$4/12,0)</f>
        <v/>
      </c>
      <c r="E13" s="11">
        <f>IF(E$12=1,-$B$3,0)+IF(AND(E$12&gt;$B$6,E$12&lt;=$B$6+$B$7),$B$4/12,0)</f>
        <v/>
      </c>
      <c r="F13" s="11">
        <f>IF(F$12=1,-$B$3,0)+IF(AND(F$12&gt;$B$6,F$12&lt;=$B$6+$B$7),$B$4/12,0)</f>
        <v/>
      </c>
      <c r="G13" s="11">
        <f>IF(G$12=1,-$B$3,0)+IF(AND(G$12&gt;$B$6,G$12&lt;=$B$6+$B$7),$B$4/12,0)</f>
        <v/>
      </c>
      <c r="H13" s="11">
        <f>IF(H$12=1,-$B$3,0)+IF(AND(H$12&gt;$B$6,H$12&lt;=$B$6+$B$7),$B$4/12,0)</f>
        <v/>
      </c>
      <c r="I13" s="11">
        <f>IF(I$12=1,-$B$3,0)+IF(AND(I$12&gt;$B$6,I$12&lt;=$B$6+$B$7),$B$4/12,0)</f>
        <v/>
      </c>
      <c r="J13" s="11">
        <f>IF(J$12=1,-$B$3,0)+IF(AND(J$12&gt;$B$6,J$12&lt;=$B$6+$B$7),$B$4/12,0)</f>
        <v/>
      </c>
      <c r="K13" s="11">
        <f>IF(K$12=1,-$B$3,0)+IF(AND(K$12&gt;$B$6,K$12&lt;=$B$6+$B$7),$B$4/12,0)</f>
        <v/>
      </c>
      <c r="L13" s="11">
        <f>IF(L$12=1,-$B$3,0)+IF(AND(L$12&gt;$B$6,L$12&lt;=$B$6+$B$7),$B$4/12,0)</f>
        <v/>
      </c>
      <c r="M13" s="11">
        <f>IF(M$12=1,-$B$3,0)+IF(AND(M$12&gt;$B$6,M$12&lt;=$B$6+$B$7),$B$4/12,0)</f>
        <v/>
      </c>
      <c r="N13" s="11">
        <f>IF(N$12=1,-$B$3,0)+IF(AND(N$12&gt;$B$6,N$12&lt;=$B$6+$B$7),$B$4/12,0)</f>
        <v/>
      </c>
      <c r="O13" s="11">
        <f>IF(O$12=1,-$B$3,0)+IF(AND(O$12&gt;$B$6,O$12&lt;=$B$6+$B$7),$B$4/12,0)</f>
        <v/>
      </c>
      <c r="P13" s="11">
        <f>IF(P$12=1,-$B$3,0)+IF(AND(P$12&gt;$B$6,P$12&lt;=$B$6+$B$7),$B$4/12,0)</f>
        <v/>
      </c>
      <c r="Q13" s="11">
        <f>IF(Q$12=1,-$B$3,0)+IF(AND(Q$12&gt;$B$6,Q$12&lt;=$B$6+$B$7),$B$4/12,0)</f>
        <v/>
      </c>
      <c r="R13" s="11">
        <f>IF(R$12=1,-$B$3,0)+IF(AND(R$12&gt;$B$6,R$12&lt;=$B$6+$B$7),$B$4/12,0)</f>
        <v/>
      </c>
      <c r="S13" s="11">
        <f>IF(S$12=1,-$B$3,0)+IF(AND(S$12&gt;$B$6,S$12&lt;=$B$6+$B$7),$B$4/12,0)</f>
        <v/>
      </c>
      <c r="T13" s="11">
        <f>IF(T$12=1,-$B$3,0)+IF(AND(T$12&gt;$B$6,T$12&lt;=$B$6+$B$7),$B$4/12,0)</f>
        <v/>
      </c>
      <c r="U13" s="11">
        <f>IF(U$12=1,-$B$3,0)+IF(AND(U$12&gt;$B$6,U$12&lt;=$B$6+$B$7),$B$4/12,0)</f>
        <v/>
      </c>
      <c r="V13" s="11">
        <f>IF(V$12=1,-$B$3,0)+IF(AND(V$12&gt;$B$6,V$12&lt;=$B$6+$B$7),$B$4/12,0)</f>
        <v/>
      </c>
      <c r="W13" s="11">
        <f>IF(W$12=1,-$B$3,0)+IF(AND(W$12&gt;$B$6,W$12&lt;=$B$6+$B$7),$B$4/12,0)</f>
        <v/>
      </c>
      <c r="X13" s="11">
        <f>IF(X$12=1,-$B$3,0)+IF(AND(X$12&gt;$B$6,X$12&lt;=$B$6+$B$7),$B$4/12,0)</f>
        <v/>
      </c>
      <c r="Y13" s="11">
        <f>IF(Y$12=1,-$B$3,0)+IF(AND(Y$12&gt;$B$6,Y$12&lt;=$B$6+$B$7),$B$4/12,0)</f>
        <v/>
      </c>
      <c r="Z13" s="11">
        <f>IF(Z$12=1,-$B$3,0)+IF(AND(Z$12&gt;$B$6,Z$12&lt;=$B$6+$B$7),$B$4/12,0)</f>
        <v/>
      </c>
      <c r="AA13" s="11">
        <f>IF(AA$12=1,-$B$3,0)+IF(AND(AA$12&gt;$B$6,AA$12&lt;=$B$6+$B$7),$B$4/12,0)</f>
        <v/>
      </c>
      <c r="AB13" s="11">
        <f>IF(AB$12=1,-$B$3,0)+IF(AND(AB$12&gt;$B$6,AB$12&lt;=$B$6+$B$7),$B$4/12,0)</f>
        <v/>
      </c>
      <c r="AC13" s="11">
        <f>IF(AC$12=1,-$B$3,0)+IF(AND(AC$12&gt;$B$6,AC$12&lt;=$B$6+$B$7),$B$4/12,0)</f>
        <v/>
      </c>
      <c r="AD13" s="11">
        <f>IF(AD$12=1,-$B$3,0)+IF(AND(AD$12&gt;$B$6,AD$12&lt;=$B$6+$B$7),$B$4/12,0)</f>
        <v/>
      </c>
      <c r="AE13" s="11">
        <f>IF(AE$12=1,-$B$3,0)+IF(AND(AE$12&gt;$B$6,AE$12&lt;=$B$6+$B$7),$B$4/12,0)</f>
        <v/>
      </c>
      <c r="AF13" s="11">
        <f>IF(AF$12=1,-$B$3,0)+IF(AND(AF$12&gt;$B$6,AF$12&lt;=$B$6+$B$7),$B$4/12,0)</f>
        <v/>
      </c>
      <c r="AG13" s="11">
        <f>IF(AG$12=1,-$B$3,0)+IF(AND(AG$12&gt;$B$6,AG$12&lt;=$B$6+$B$7),$B$4/12,0)</f>
        <v/>
      </c>
      <c r="AH13" s="11">
        <f>IF(AH$12=1,-$B$3,0)+IF(AND(AH$12&gt;$B$6,AH$12&lt;=$B$6+$B$7),$B$4/12,0)</f>
        <v/>
      </c>
      <c r="AI13" s="11">
        <f>IF(AI$12=1,-$B$3,0)+IF(AND(AI$12&gt;$B$6,AI$12&lt;=$B$6+$B$7),$B$4/12,0)</f>
        <v/>
      </c>
      <c r="AJ13" s="11">
        <f>IF(AJ$12=1,-$B$3,0)+IF(AND(AJ$12&gt;$B$6,AJ$12&lt;=$B$6+$B$7),$B$4/12,0)</f>
        <v/>
      </c>
      <c r="AK13" s="11">
        <f>IF(AK$12=1,-$B$3,0)+IF(AND(AK$12&gt;$B$6,AK$12&lt;=$B$6+$B$7),$B$4/12,0)</f>
        <v/>
      </c>
      <c r="AL13" s="11">
        <f>IF(AL$12=1,-$B$3,0)+IF(AND(AL$12&gt;$B$6,AL$12&lt;=$B$6+$B$7),$B$4/12,0)</f>
        <v/>
      </c>
      <c r="AM13" s="11">
        <f>IF(AM$12=1,-$B$3,0)+IF(AND(AM$12&gt;$B$6,AM$12&lt;=$B$6+$B$7),$B$4/12,0)</f>
        <v/>
      </c>
      <c r="AN13" s="11">
        <f>IF(AN$12=1,-$B$3,0)+IF(AND(AN$12&gt;$B$6,AN$12&lt;=$B$6+$B$7),$B$4/12,0)</f>
        <v/>
      </c>
      <c r="AO13" s="11">
        <f>IF(AO$12=1,-$B$3,0)+IF(AND(AO$12&gt;$B$6,AO$12&lt;=$B$6+$B$7),$B$4/12,0)</f>
        <v/>
      </c>
      <c r="AP13" s="11">
        <f>IF(AP$12=1,-$B$3,0)+IF(AND(AP$12&gt;$B$6,AP$12&lt;=$B$6+$B$7),$B$4/12,0)</f>
        <v/>
      </c>
      <c r="AQ13" s="11">
        <f>IF(AQ$12=1,-$B$3,0)+IF(AND(AQ$12&gt;$B$6,AQ$12&lt;=$B$6+$B$7),$B$4/12,0)</f>
        <v/>
      </c>
      <c r="AR13" s="11">
        <f>IF(AR$12=1,-$B$3,0)+IF(AND(AR$12&gt;$B$6,AR$12&lt;=$B$6+$B$7),$B$4/12,0)</f>
        <v/>
      </c>
      <c r="AS13" s="11">
        <f>IF(AS$12=1,-$B$3,0)+IF(AND(AS$12&gt;$B$6,AS$12&lt;=$B$6+$B$7),$B$4/12,0)</f>
        <v/>
      </c>
      <c r="AT13" s="11">
        <f>IF(AT$12=1,-$B$3,0)+IF(AND(AT$12&gt;$B$6,AT$12&lt;=$B$6+$B$7),$B$4/12,0)</f>
        <v/>
      </c>
      <c r="AU13" s="11">
        <f>IF(AU$12=1,-$B$3,0)+IF(AND(AU$12&gt;$B$6,AU$12&lt;=$B$6+$B$7),$B$4/12,0)</f>
        <v/>
      </c>
      <c r="AV13" s="11">
        <f>IF(AV$12=1,-$B$3,0)+IF(AND(AV$12&gt;$B$6,AV$12&lt;=$B$6+$B$7),$B$4/12,0)</f>
        <v/>
      </c>
      <c r="AW13" s="11">
        <f>IF(AW$12=1,-$B$3,0)+IF(AND(AW$12&gt;$B$6,AW$12&lt;=$B$6+$B$7),$B$4/12,0)</f>
        <v/>
      </c>
      <c r="AX13" s="11">
        <f>IF(AX$12=1,-$B$3,0)+IF(AND(AX$12&gt;$B$6,AX$12&lt;=$B$6+$B$7),$B$4/12,0)</f>
        <v/>
      </c>
      <c r="AY13" s="11">
        <f>IF(AY$12=1,-$B$3,0)+IF(AND(AY$12&gt;$B$6,AY$12&lt;=$B$6+$B$7),$B$4/12,0)</f>
        <v/>
      </c>
      <c r="AZ13" s="11">
        <f>IF(AZ$12=1,-$B$3,0)+IF(AND(AZ$12&gt;$B$6,AZ$12&lt;=$B$6+$B$7),$B$4/12,0)</f>
        <v/>
      </c>
      <c r="BA13" s="11">
        <f>IF(BA$12=1,-$B$3,0)+IF(AND(BA$12&gt;$B$6,BA$12&lt;=$B$6+$B$7),$B$4/12,0)</f>
        <v/>
      </c>
      <c r="BB13" s="11">
        <f>IF(BB$12=1,-$B$3,0)+IF(AND(BB$12&gt;$B$6,BB$12&lt;=$B$6+$B$7),$B$4/12,0)</f>
        <v/>
      </c>
      <c r="BC13" s="11">
        <f>IF(BC$12=1,-$B$3,0)+IF(AND(BC$12&gt;$B$6,BC$12&lt;=$B$6+$B$7),$B$4/12,0)</f>
        <v/>
      </c>
      <c r="BD13" s="11">
        <f>IF(BD$12=1,-$B$3,0)+IF(AND(BD$12&gt;$B$6,BD$12&lt;=$B$6+$B$7),$B$4/12,0)</f>
        <v/>
      </c>
      <c r="BE13" s="11">
        <f>IF(BE$12=1,-$B$3,0)+IF(AND(BE$12&gt;$B$6,BE$12&lt;=$B$6+$B$7),$B$4/12,0)</f>
        <v/>
      </c>
      <c r="BF13" s="11">
        <f>IF(BF$12=1,-$B$3,0)+IF(AND(BF$12&gt;$B$6,BF$12&lt;=$B$6+$B$7),$B$4/12,0)</f>
        <v/>
      </c>
      <c r="BG13" s="11">
        <f>IF(BG$12=1,-$B$3,0)+IF(AND(BG$12&gt;$B$6,BG$12&lt;=$B$6+$B$7),$B$4/12,0)</f>
        <v/>
      </c>
      <c r="BH13" s="11">
        <f>IF(BH$12=1,-$B$3,0)+IF(AND(BH$12&gt;$B$6,BH$12&lt;=$B$6+$B$7),$B$4/12,0)</f>
        <v/>
      </c>
      <c r="BI13" s="11">
        <f>IF(BI$12=1,-$B$3,0)+IF(AND(BI$12&gt;$B$6,BI$12&lt;=$B$6+$B$7),$B$4/12,0)</f>
        <v/>
      </c>
      <c r="BJ13" s="11">
        <f>IF(BJ$12=1,-$B$3,0)+IF(AND(BJ$12&gt;$B$6,BJ$12&lt;=$B$6+$B$7),$B$4/12,0)</f>
        <v/>
      </c>
      <c r="BK13" s="11">
        <f>IF(BK$12=1,-$B$3,0)+IF(AND(BK$12&gt;$B$6,BK$12&lt;=$B$6+$B$7),$B$4/12,0)</f>
        <v/>
      </c>
      <c r="BL13" s="11">
        <f>IF(BL$12=1,-$B$3,0)+IF(AND(BL$12&gt;$B$6,BL$12&lt;=$B$6+$B$7),$B$4/12,0)</f>
        <v/>
      </c>
      <c r="BM13" s="11">
        <f>IF(BM$12=1,-$B$3,0)+IF(AND(BM$12&gt;$B$6,BM$12&lt;=$B$6+$B$7),$B$4/12,0)</f>
        <v/>
      </c>
      <c r="BN13" s="11">
        <f>IF(BN$12=1,-$B$3,0)+IF(AND(BN$12&gt;$B$6,BN$12&lt;=$B$6+$B$7),$B$4/12,0)</f>
        <v/>
      </c>
      <c r="BO13" s="11">
        <f>IF(BO$12=1,-$B$3,0)+IF(AND(BO$12&gt;$B$6,BO$12&lt;=$B$6+$B$7),$B$4/12,0)</f>
        <v/>
      </c>
      <c r="BP13" s="11">
        <f>IF(BP$12=1,-$B$3,0)+IF(AND(BP$12&gt;$B$6,BP$12&lt;=$B$6+$B$7),$B$4/12,0)</f>
        <v/>
      </c>
      <c r="BQ13" s="11">
        <f>IF(BQ$12=1,-$B$3,0)+IF(AND(BQ$12&gt;$B$6,BQ$12&lt;=$B$6+$B$7),$B$4/12,0)</f>
        <v/>
      </c>
      <c r="BR13" s="11">
        <f>IF(BR$12=1,-$B$3,0)+IF(AND(BR$12&gt;$B$6,BR$12&lt;=$B$6+$B$7),$B$4/12,0)</f>
        <v/>
      </c>
      <c r="BS13" s="11">
        <f>IF(BS$12=1,-$B$3,0)+IF(AND(BS$12&gt;$B$6,BS$12&lt;=$B$6+$B$7),$B$4/12,0)</f>
        <v/>
      </c>
      <c r="BT13" s="11">
        <f>IF(BT$12=1,-$B$3,0)+IF(AND(BT$12&gt;$B$6,BT$12&lt;=$B$6+$B$7),$B$4/12,0)</f>
        <v/>
      </c>
      <c r="BU13" s="11">
        <f>IF(BU$12=1,-$B$3,0)+IF(AND(BU$12&gt;$B$6,BU$12&lt;=$B$6+$B$7),$B$4/12,0)</f>
        <v/>
      </c>
      <c r="BV13" s="11">
        <f>IF(BV$12=1,-$B$3,0)+IF(AND(BV$12&gt;$B$6,BV$12&lt;=$B$6+$B$7),$B$4/12,0)</f>
        <v/>
      </c>
      <c r="BW13" s="11">
        <f>IF(BW$12=1,-$B$3,0)+IF(AND(BW$12&gt;$B$6,BW$12&lt;=$B$6+$B$7),$B$4/12,0)</f>
        <v/>
      </c>
      <c r="BX13" s="11">
        <f>IF(BX$12=1,-$B$3,0)+IF(AND(BX$12&gt;$B$6,BX$12&lt;=$B$6+$B$7),$B$4/12,0)</f>
        <v/>
      </c>
      <c r="BY13" s="11">
        <f>IF(BY$12=1,-$B$3,0)+IF(AND(BY$12&gt;$B$6,BY$12&lt;=$B$6+$B$7),$B$4/12,0)</f>
        <v/>
      </c>
      <c r="BZ13" s="11">
        <f>IF(BZ$12=1,-$B$3,0)+IF(AND(BZ$12&gt;$B$6,BZ$12&lt;=$B$6+$B$7),$B$4/12,0)</f>
        <v/>
      </c>
      <c r="CA13" s="11">
        <f>IF(CA$12=1,-$B$3,0)+IF(AND(CA$12&gt;$B$6,CA$12&lt;=$B$6+$B$7),$B$4/12,0)</f>
        <v/>
      </c>
      <c r="CB13" s="11">
        <f>IF(CB$12=1,-$B$3,0)+IF(AND(CB$12&gt;$B$6,CB$12&lt;=$B$6+$B$7),$B$4/12,0)</f>
        <v/>
      </c>
      <c r="CC13" s="11">
        <f>IF(CC$12=1,-$B$3,0)+IF(AND(CC$12&gt;$B$6,CC$12&lt;=$B$6+$B$7),$B$4/12,0)</f>
        <v/>
      </c>
      <c r="CD13" s="11">
        <f>IF(CD$12=1,-$B$3,0)+IF(AND(CD$12&gt;$B$6,CD$12&lt;=$B$6+$B$7),$B$4/12,0)</f>
        <v/>
      </c>
      <c r="CE13" s="11">
        <f>IF(CE$12=1,-$B$3,0)+IF(AND(CE$12&gt;$B$6,CE$12&lt;=$B$6+$B$7),$B$4/12,0)</f>
        <v/>
      </c>
      <c r="CF13" s="11">
        <f>IF(CF$12=1,-$B$3,0)+IF(AND(CF$12&gt;$B$6,CF$12&lt;=$B$6+$B$7),$B$4/12,0)</f>
        <v/>
      </c>
      <c r="CG13" s="11">
        <f>IF(CG$12=1,-$B$3,0)+IF(AND(CG$12&gt;$B$6,CG$12&lt;=$B$6+$B$7),$B$4/12,0)</f>
        <v/>
      </c>
      <c r="CH13" s="11">
        <f>IF(CH$12=1,-$B$3,0)+IF(AND(CH$12&gt;$B$6,CH$12&lt;=$B$6+$B$7),$B$4/12,0)</f>
        <v/>
      </c>
      <c r="CI13" s="11">
        <f>IF(CI$12=1,-$B$3,0)+IF(AND(CI$12&gt;$B$6,CI$12&lt;=$B$6+$B$7),$B$4/12,0)</f>
        <v/>
      </c>
      <c r="CJ13" s="11">
        <f>IF(CJ$12=1,-$B$3,0)+IF(AND(CJ$12&gt;$B$6,CJ$12&lt;=$B$6+$B$7),$B$4/12,0)</f>
        <v/>
      </c>
      <c r="CK13" s="11">
        <f>IF(CK$12=1,-$B$3,0)+IF(AND(CK$12&gt;$B$6,CK$12&lt;=$B$6+$B$7),$B$4/12,0)</f>
        <v/>
      </c>
      <c r="CL13" s="11">
        <f>IF(CL$12=1,-$B$3,0)+IF(AND(CL$12&gt;$B$6,CL$12&lt;=$B$6+$B$7),$B$4/12,0)</f>
        <v/>
      </c>
      <c r="CM13" s="11">
        <f>IF(CM$12=1,-$B$3,0)+IF(AND(CM$12&gt;$B$6,CM$12&lt;=$B$6+$B$7),$B$4/12,0)</f>
        <v/>
      </c>
      <c r="CN13" s="11">
        <f>IF(CN$12=1,-$B$3,0)+IF(AND(CN$12&gt;$B$6,CN$12&lt;=$B$6+$B$7),$B$4/12,0)</f>
        <v/>
      </c>
      <c r="CO13" s="11">
        <f>IF(CO$12=1,-$B$3,0)+IF(AND(CO$12&gt;$B$6,CO$12&lt;=$B$6+$B$7),$B$4/12,0)</f>
        <v/>
      </c>
      <c r="CP13" s="11">
        <f>IF(CP$12=1,-$B$3,0)+IF(AND(CP$12&gt;$B$6,CP$12&lt;=$B$6+$B$7),$B$4/12,0)</f>
        <v/>
      </c>
      <c r="CQ13" s="11">
        <f>IF(CQ$12=1,-$B$3,0)+IF(AND(CQ$12&gt;$B$6,CQ$12&lt;=$B$6+$B$7),$B$4/12,0)</f>
        <v/>
      </c>
      <c r="CR13" s="11">
        <f>IF(CR$12=1,-$B$3,0)+IF(AND(CR$12&gt;$B$6,CR$12&lt;=$B$6+$B$7),$B$4/12,0)</f>
        <v/>
      </c>
      <c r="CS13" s="11">
        <f>IF(CS$12=1,-$B$3,0)+IF(AND(CS$12&gt;$B$6,CS$12&lt;=$B$6+$B$7),$B$4/12,0)</f>
        <v/>
      </c>
      <c r="CT13" s="11">
        <f>IF(CT$12=1,-$B$3,0)+IF(AND(CT$12&gt;$B$6,CT$12&lt;=$B$6+$B$7),$B$4/12,0)</f>
        <v/>
      </c>
      <c r="CU13" s="11">
        <f>IF(CU$12=1,-$B$3,0)+IF(AND(CU$12&gt;$B$6,CU$12&lt;=$B$6+$B$7),$B$4/12,0)</f>
        <v/>
      </c>
      <c r="CV13" s="11">
        <f>IF(CV$12=1,-$B$3,0)+IF(AND(CV$12&gt;$B$6,CV$12&lt;=$B$6+$B$7),$B$4/12,0)</f>
        <v/>
      </c>
      <c r="CW13" s="11">
        <f>IF(CW$12=1,-$B$3,0)+IF(AND(CW$12&gt;$B$6,CW$12&lt;=$B$6+$B$7),$B$4/12,0)</f>
        <v/>
      </c>
      <c r="CX13" s="11">
        <f>IF(CX$12=1,-$B$3,0)+IF(AND(CX$12&gt;$B$6,CX$12&lt;=$B$6+$B$7),$B$4/12,0)</f>
        <v/>
      </c>
      <c r="CY13" s="11">
        <f>IF(CY$12=1,-$B$3,0)+IF(AND(CY$12&gt;$B$6,CY$12&lt;=$B$6+$B$7),$B$4/12,0)</f>
        <v/>
      </c>
      <c r="CZ13" s="11">
        <f>IF(CZ$12=1,-$B$3,0)+IF(AND(CZ$12&gt;$B$6,CZ$12&lt;=$B$6+$B$7),$B$4/12,0)</f>
        <v/>
      </c>
      <c r="DA13" s="11">
        <f>IF(DA$12=1,-$B$3,0)+IF(AND(DA$12&gt;$B$6,DA$12&lt;=$B$6+$B$7),$B$4/12,0)</f>
        <v/>
      </c>
      <c r="DB13" s="11">
        <f>IF(DB$12=1,-$B$3,0)+IF(AND(DB$12&gt;$B$6,DB$12&lt;=$B$6+$B$7),$B$4/12,0)</f>
        <v/>
      </c>
      <c r="DC13" s="11">
        <f>IF(DC$12=1,-$B$3,0)+IF(AND(DC$12&gt;$B$6,DC$12&lt;=$B$6+$B$7),$B$4/12,0)</f>
        <v/>
      </c>
      <c r="DD13" s="11">
        <f>IF(DD$12=1,-$B$3,0)+IF(AND(DD$12&gt;$B$6,DD$12&lt;=$B$6+$B$7),$B$4/12,0)</f>
        <v/>
      </c>
      <c r="DE13" s="11">
        <f>IF(DE$12=1,-$B$3,0)+IF(AND(DE$12&gt;$B$6,DE$12&lt;=$B$6+$B$7),$B$4/12,0)</f>
        <v/>
      </c>
      <c r="DF13" s="11">
        <f>IF(DF$12=1,-$B$3,0)+IF(AND(DF$12&gt;$B$6,DF$12&lt;=$B$6+$B$7),$B$4/12,0)</f>
        <v/>
      </c>
      <c r="DG13" s="11">
        <f>IF(DG$12=1,-$B$3,0)+IF(AND(DG$12&gt;$B$6,DG$12&lt;=$B$6+$B$7),$B$4/12,0)</f>
        <v/>
      </c>
      <c r="DH13" s="11">
        <f>IF(DH$12=1,-$B$3,0)+IF(AND(DH$12&gt;$B$6,DH$12&lt;=$B$6+$B$7),$B$4/12,0)</f>
        <v/>
      </c>
      <c r="DI13" s="11">
        <f>IF(DI$12=1,-$B$3,0)+IF(AND(DI$12&gt;$B$6,DI$12&lt;=$B$6+$B$7),$B$4/12,0)</f>
        <v/>
      </c>
      <c r="DJ13" s="11">
        <f>IF(DJ$12=1,-$B$3,0)+IF(AND(DJ$12&gt;$B$6,DJ$12&lt;=$B$6+$B$7),$B$4/12,0)</f>
        <v/>
      </c>
      <c r="DK13" s="11">
        <f>IF(DK$12=1,-$B$3,0)+IF(AND(DK$12&gt;$B$6,DK$12&lt;=$B$6+$B$7),$B$4/12,0)</f>
        <v/>
      </c>
      <c r="DL13" s="11">
        <f>IF(DL$12=1,-$B$3,0)+IF(AND(DL$12&gt;$B$6,DL$12&lt;=$B$6+$B$7),$B$4/12,0)</f>
        <v/>
      </c>
      <c r="DM13" s="11">
        <f>IF(DM$12=1,-$B$3,0)+IF(AND(DM$12&gt;$B$6,DM$12&lt;=$B$6+$B$7),$B$4/12,0)</f>
        <v/>
      </c>
      <c r="DN13" s="11">
        <f>IF(DN$12=1,-$B$3,0)+IF(AND(DN$12&gt;$B$6,DN$12&lt;=$B$6+$B$7),$B$4/12,0)</f>
        <v/>
      </c>
      <c r="DO13" s="11">
        <f>IF(DO$12=1,-$B$3,0)+IF(AND(DO$12&gt;$B$6,DO$12&lt;=$B$6+$B$7),$B$4/12,0)</f>
        <v/>
      </c>
      <c r="DP13" s="11">
        <f>IF(DP$12=1,-$B$3,0)+IF(AND(DP$12&gt;$B$6,DP$12&lt;=$B$6+$B$7),$B$4/12,0)</f>
        <v/>
      </c>
      <c r="DQ13" s="11">
        <f>IF(DQ$12=1,-$B$3,0)+IF(AND(DQ$12&gt;$B$6,DQ$12&lt;=$B$6+$B$7),$B$4/12,0)</f>
        <v/>
      </c>
      <c r="DR13" s="11">
        <f>IF(DR$12=1,-$B$3,0)+IF(AND(DR$12&gt;$B$6,DR$12&lt;=$B$6+$B$7),$B$4/12,0)</f>
        <v/>
      </c>
      <c r="DS13" s="11">
        <f>IF(DS$12=1,-$B$3,0)+IF(AND(DS$12&gt;$B$6,DS$12&lt;=$B$6+$B$7),$B$4/12,0)</f>
        <v/>
      </c>
    </row>
    <row r="14">
      <c r="A14" s="5" t="inlineStr">
        <is>
          <t>Cumulative</t>
        </is>
      </c>
      <c r="D14" s="11">
        <f>D13</f>
        <v/>
      </c>
      <c r="E14" s="11">
        <f>D14+E13</f>
        <v/>
      </c>
      <c r="F14" s="11">
        <f>E14+F13</f>
        <v/>
      </c>
      <c r="G14" s="11">
        <f>F14+G13</f>
        <v/>
      </c>
      <c r="H14" s="11">
        <f>G14+H13</f>
        <v/>
      </c>
      <c r="I14" s="11">
        <f>H14+I13</f>
        <v/>
      </c>
      <c r="J14" s="11">
        <f>I14+J13</f>
        <v/>
      </c>
      <c r="K14" s="11">
        <f>J14+K13</f>
        <v/>
      </c>
      <c r="L14" s="11">
        <f>K14+L13</f>
        <v/>
      </c>
      <c r="M14" s="11">
        <f>L14+M13</f>
        <v/>
      </c>
      <c r="N14" s="11">
        <f>M14+N13</f>
        <v/>
      </c>
      <c r="O14" s="11">
        <f>N14+O13</f>
        <v/>
      </c>
      <c r="P14" s="11">
        <f>O14+P13</f>
        <v/>
      </c>
      <c r="Q14" s="11">
        <f>P14+Q13</f>
        <v/>
      </c>
      <c r="R14" s="11">
        <f>Q14+R13</f>
        <v/>
      </c>
      <c r="S14" s="11">
        <f>R14+S13</f>
        <v/>
      </c>
      <c r="T14" s="11">
        <f>S14+T13</f>
        <v/>
      </c>
      <c r="U14" s="11">
        <f>T14+U13</f>
        <v/>
      </c>
      <c r="V14" s="11">
        <f>U14+V13</f>
        <v/>
      </c>
      <c r="W14" s="11">
        <f>V14+W13</f>
        <v/>
      </c>
      <c r="X14" s="11">
        <f>W14+X13</f>
        <v/>
      </c>
      <c r="Y14" s="11">
        <f>X14+Y13</f>
        <v/>
      </c>
      <c r="Z14" s="11">
        <f>Y14+Z13</f>
        <v/>
      </c>
      <c r="AA14" s="11">
        <f>Z14+AA13</f>
        <v/>
      </c>
      <c r="AB14" s="11">
        <f>AA14+AB13</f>
        <v/>
      </c>
      <c r="AC14" s="11">
        <f>AB14+AC13</f>
        <v/>
      </c>
      <c r="AD14" s="11">
        <f>AC14+AD13</f>
        <v/>
      </c>
      <c r="AE14" s="11">
        <f>AD14+AE13</f>
        <v/>
      </c>
      <c r="AF14" s="11">
        <f>AE14+AF13</f>
        <v/>
      </c>
      <c r="AG14" s="11">
        <f>AF14+AG13</f>
        <v/>
      </c>
      <c r="AH14" s="11">
        <f>AG14+AH13</f>
        <v/>
      </c>
      <c r="AI14" s="11">
        <f>AH14+AI13</f>
        <v/>
      </c>
      <c r="AJ14" s="11">
        <f>AI14+AJ13</f>
        <v/>
      </c>
      <c r="AK14" s="11">
        <f>AJ14+AK13</f>
        <v/>
      </c>
      <c r="AL14" s="11">
        <f>AK14+AL13</f>
        <v/>
      </c>
      <c r="AM14" s="11">
        <f>AL14+AM13</f>
        <v/>
      </c>
      <c r="AN14" s="11">
        <f>AM14+AN13</f>
        <v/>
      </c>
      <c r="AO14" s="11">
        <f>AN14+AO13</f>
        <v/>
      </c>
      <c r="AP14" s="11">
        <f>AO14+AP13</f>
        <v/>
      </c>
      <c r="AQ14" s="11">
        <f>AP14+AQ13</f>
        <v/>
      </c>
      <c r="AR14" s="11">
        <f>AQ14+AR13</f>
        <v/>
      </c>
      <c r="AS14" s="11">
        <f>AR14+AS13</f>
        <v/>
      </c>
      <c r="AT14" s="11">
        <f>AS14+AT13</f>
        <v/>
      </c>
      <c r="AU14" s="11">
        <f>AT14+AU13</f>
        <v/>
      </c>
      <c r="AV14" s="11">
        <f>AU14+AV13</f>
        <v/>
      </c>
      <c r="AW14" s="11">
        <f>AV14+AW13</f>
        <v/>
      </c>
      <c r="AX14" s="11">
        <f>AW14+AX13</f>
        <v/>
      </c>
      <c r="AY14" s="11">
        <f>AX14+AY13</f>
        <v/>
      </c>
      <c r="AZ14" s="11">
        <f>AY14+AZ13</f>
        <v/>
      </c>
      <c r="BA14" s="11">
        <f>AZ14+BA13</f>
        <v/>
      </c>
      <c r="BB14" s="11">
        <f>BA14+BB13</f>
        <v/>
      </c>
      <c r="BC14" s="11">
        <f>BB14+BC13</f>
        <v/>
      </c>
      <c r="BD14" s="11">
        <f>BC14+BD13</f>
        <v/>
      </c>
      <c r="BE14" s="11">
        <f>BD14+BE13</f>
        <v/>
      </c>
      <c r="BF14" s="11">
        <f>BE14+BF13</f>
        <v/>
      </c>
      <c r="BG14" s="11">
        <f>BF14+BG13</f>
        <v/>
      </c>
      <c r="BH14" s="11">
        <f>BG14+BH13</f>
        <v/>
      </c>
      <c r="BI14" s="11">
        <f>BH14+BI13</f>
        <v/>
      </c>
      <c r="BJ14" s="11">
        <f>BI14+BJ13</f>
        <v/>
      </c>
      <c r="BK14" s="11">
        <f>BJ14+BK13</f>
        <v/>
      </c>
      <c r="BL14" s="11">
        <f>BK14+BL13</f>
        <v/>
      </c>
      <c r="BM14" s="11">
        <f>BL14+BM13</f>
        <v/>
      </c>
      <c r="BN14" s="11">
        <f>BM14+BN13</f>
        <v/>
      </c>
      <c r="BO14" s="11">
        <f>BN14+BO13</f>
        <v/>
      </c>
      <c r="BP14" s="11">
        <f>BO14+BP13</f>
        <v/>
      </c>
      <c r="BQ14" s="11">
        <f>BP14+BQ13</f>
        <v/>
      </c>
      <c r="BR14" s="11">
        <f>BQ14+BR13</f>
        <v/>
      </c>
      <c r="BS14" s="11">
        <f>BR14+BS13</f>
        <v/>
      </c>
      <c r="BT14" s="11">
        <f>BS14+BT13</f>
        <v/>
      </c>
      <c r="BU14" s="11">
        <f>BT14+BU13</f>
        <v/>
      </c>
      <c r="BV14" s="11">
        <f>BU14+BV13</f>
        <v/>
      </c>
      <c r="BW14" s="11">
        <f>BV14+BW13</f>
        <v/>
      </c>
      <c r="BX14" s="11">
        <f>BW14+BX13</f>
        <v/>
      </c>
      <c r="BY14" s="11">
        <f>BX14+BY13</f>
        <v/>
      </c>
      <c r="BZ14" s="11">
        <f>BY14+BZ13</f>
        <v/>
      </c>
      <c r="CA14" s="11">
        <f>BZ14+CA13</f>
        <v/>
      </c>
      <c r="CB14" s="11">
        <f>CA14+CB13</f>
        <v/>
      </c>
      <c r="CC14" s="11">
        <f>CB14+CC13</f>
        <v/>
      </c>
      <c r="CD14" s="11">
        <f>CC14+CD13</f>
        <v/>
      </c>
      <c r="CE14" s="11">
        <f>CD14+CE13</f>
        <v/>
      </c>
      <c r="CF14" s="11">
        <f>CE14+CF13</f>
        <v/>
      </c>
      <c r="CG14" s="11">
        <f>CF14+CG13</f>
        <v/>
      </c>
      <c r="CH14" s="11">
        <f>CG14+CH13</f>
        <v/>
      </c>
      <c r="CI14" s="11">
        <f>CH14+CI13</f>
        <v/>
      </c>
      <c r="CJ14" s="11">
        <f>CI14+CJ13</f>
        <v/>
      </c>
      <c r="CK14" s="11">
        <f>CJ14+CK13</f>
        <v/>
      </c>
      <c r="CL14" s="11">
        <f>CK14+CL13</f>
        <v/>
      </c>
      <c r="CM14" s="11">
        <f>CL14+CM13</f>
        <v/>
      </c>
      <c r="CN14" s="11">
        <f>CM14+CN13</f>
        <v/>
      </c>
      <c r="CO14" s="11">
        <f>CN14+CO13</f>
        <v/>
      </c>
      <c r="CP14" s="11">
        <f>CO14+CP13</f>
        <v/>
      </c>
      <c r="CQ14" s="11">
        <f>CP14+CQ13</f>
        <v/>
      </c>
      <c r="CR14" s="11">
        <f>CQ14+CR13</f>
        <v/>
      </c>
      <c r="CS14" s="11">
        <f>CR14+CS13</f>
        <v/>
      </c>
      <c r="CT14" s="11">
        <f>CS14+CT13</f>
        <v/>
      </c>
      <c r="CU14" s="11">
        <f>CT14+CU13</f>
        <v/>
      </c>
      <c r="CV14" s="11">
        <f>CU14+CV13</f>
        <v/>
      </c>
      <c r="CW14" s="11">
        <f>CV14+CW13</f>
        <v/>
      </c>
      <c r="CX14" s="11">
        <f>CW14+CX13</f>
        <v/>
      </c>
      <c r="CY14" s="11">
        <f>CX14+CY13</f>
        <v/>
      </c>
      <c r="CZ14" s="11">
        <f>CY14+CZ13</f>
        <v/>
      </c>
      <c r="DA14" s="11">
        <f>CZ14+DA13</f>
        <v/>
      </c>
      <c r="DB14" s="11">
        <f>DA14+DB13</f>
        <v/>
      </c>
      <c r="DC14" s="11">
        <f>DB14+DC13</f>
        <v/>
      </c>
      <c r="DD14" s="11">
        <f>DC14+DD13</f>
        <v/>
      </c>
      <c r="DE14" s="11">
        <f>DD14+DE13</f>
        <v/>
      </c>
      <c r="DF14" s="11">
        <f>DE14+DF13</f>
        <v/>
      </c>
      <c r="DG14" s="11">
        <f>DF14+DG13</f>
        <v/>
      </c>
      <c r="DH14" s="11">
        <f>DG14+DH13</f>
        <v/>
      </c>
      <c r="DI14" s="11">
        <f>DH14+DI13</f>
        <v/>
      </c>
      <c r="DJ14" s="11">
        <f>DI14+DJ13</f>
        <v/>
      </c>
      <c r="DK14" s="11">
        <f>DJ14+DK13</f>
        <v/>
      </c>
      <c r="DL14" s="11">
        <f>DK14+DL13</f>
        <v/>
      </c>
      <c r="DM14" s="11">
        <f>DL14+DM13</f>
        <v/>
      </c>
      <c r="DN14" s="11">
        <f>DM14+DN13</f>
        <v/>
      </c>
      <c r="DO14" s="11">
        <f>DN14+DO13</f>
        <v/>
      </c>
      <c r="DP14" s="11">
        <f>DO14+DP13</f>
        <v/>
      </c>
      <c r="DQ14" s="11">
        <f>DP14+DQ13</f>
        <v/>
      </c>
      <c r="DR14" s="11">
        <f>DQ14+DR13</f>
        <v/>
      </c>
      <c r="DS14" s="11">
        <f>DR14+DS13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 xml:space="preserve">  SENSITIVITY   |   computed off the same mass-balance engine as MB Base / MB Sort</t>
        </is>
      </c>
      <c r="B1" s="1" t="n"/>
      <c r="C1" s="1" t="n"/>
      <c r="D1" s="1" t="n"/>
      <c r="E1" s="1" t="n"/>
      <c r="F1" s="1" t="n"/>
      <c r="G1" s="1" t="n"/>
    </row>
    <row r="3">
      <c r="B3" s="36" t="inlineStr">
        <is>
          <t>Values are static (generated with the model engine). Re-run build_wb.py to refresh after changing Dashboard inputs.</t>
        </is>
      </c>
    </row>
    <row r="5">
      <c r="B5" s="4" t="inlineStr">
        <is>
          <t xml:space="preserve">  A.  Capacity capture  -  what share of freed SAG capacity is actually filled with ore</t>
        </is>
      </c>
      <c r="C5" s="4" t="n"/>
      <c r="D5" s="4" t="n"/>
      <c r="E5" s="4" t="n"/>
      <c r="F5" s="4" t="n"/>
    </row>
    <row r="6">
      <c r="B6" s="6" t="inlineStr">
        <is>
          <t>Capture</t>
        </is>
      </c>
      <c r="C6" s="6" t="inlineStr">
        <is>
          <t>ROM uplift t/h</t>
        </is>
      </c>
      <c r="D6" s="6" t="inlineStr">
        <is>
          <t>Extra oz/a</t>
        </is>
      </c>
      <c r="E6" s="6" t="inlineStr">
        <is>
          <t>Net $/a</t>
        </is>
      </c>
      <c r="F6" s="6" t="inlineStr">
        <is>
          <t>NPV $</t>
        </is>
      </c>
    </row>
    <row r="7">
      <c r="B7" s="37" t="inlineStr">
        <is>
          <t>0%</t>
        </is>
      </c>
      <c r="C7" s="15" t="n">
        <v>0</v>
      </c>
      <c r="D7" s="11" t="n">
        <v>-566.7792973709322</v>
      </c>
      <c r="E7" s="11" t="n">
        <v>-1964634.979889435</v>
      </c>
      <c r="F7" s="38" t="n">
        <v>-13861666.51034132</v>
      </c>
    </row>
    <row r="8">
      <c r="B8" s="37" t="inlineStr">
        <is>
          <t>10%</t>
        </is>
      </c>
      <c r="C8" s="15" t="n">
        <v>0.7201533406352667</v>
      </c>
      <c r="D8" s="11" t="n">
        <v>-240.2448938472752</v>
      </c>
      <c r="E8" s="11" t="n">
        <v>-1010560.449842954</v>
      </c>
      <c r="F8" s="38" t="n">
        <v>-9118735.708254609</v>
      </c>
    </row>
    <row r="9">
      <c r="B9" s="37" t="inlineStr">
        <is>
          <t>21%</t>
        </is>
      </c>
      <c r="C9" s="15" t="n">
        <v>1.51232201533406</v>
      </c>
      <c r="D9" s="11" t="n">
        <v>118.942950028782</v>
      </c>
      <c r="E9" s="11" t="n">
        <v>38921.53320830893</v>
      </c>
      <c r="F9" s="38" t="n">
        <v>-3901511.825958568</v>
      </c>
    </row>
    <row r="10">
      <c r="B10" s="37" t="inlineStr">
        <is>
          <t>25%</t>
        </is>
      </c>
      <c r="C10" s="15" t="n">
        <v>1.800383351588167</v>
      </c>
      <c r="D10" s="11" t="n">
        <v>249.5567114382534</v>
      </c>
      <c r="E10" s="11" t="n">
        <v>420551.345226933</v>
      </c>
      <c r="F10" s="38" t="n">
        <v>-2004339.505123731</v>
      </c>
    </row>
    <row r="11">
      <c r="B11" s="37" t="inlineStr">
        <is>
          <t>50%</t>
        </is>
      </c>
      <c r="C11" s="15" t="n">
        <v>3.600766703176333</v>
      </c>
      <c r="D11" s="11" t="n">
        <v>1065.892720247396</v>
      </c>
      <c r="E11" s="11" t="n">
        <v>2805737.67034314</v>
      </c>
      <c r="F11" s="39" t="n">
        <v>9852987.50009306</v>
      </c>
    </row>
    <row r="12">
      <c r="B12" s="37" t="inlineStr">
        <is>
          <t>75%</t>
        </is>
      </c>
      <c r="C12" s="15" t="n">
        <v>5.4011500547645</v>
      </c>
      <c r="D12" s="11" t="n">
        <v>1882.228729056549</v>
      </c>
      <c r="E12" s="11" t="n">
        <v>5190923.995459381</v>
      </c>
      <c r="F12" s="39" t="n">
        <v>21710314.50531001</v>
      </c>
    </row>
    <row r="13">
      <c r="B13" s="37" t="inlineStr">
        <is>
          <t>100%</t>
        </is>
      </c>
      <c r="C13" s="15" t="n">
        <v>7.201533406352667</v>
      </c>
      <c r="D13" s="11" t="n">
        <v>2698.564737865702</v>
      </c>
      <c r="E13" s="11" t="n">
        <v>7576110.32057563</v>
      </c>
      <c r="F13" s="39" t="n">
        <v>33567641.51052701</v>
      </c>
    </row>
    <row r="16">
      <c r="B16" s="4" t="inlineStr">
        <is>
          <t xml:space="preserve">  B.  Grade of the incremental feed that fills the freed capacity</t>
        </is>
      </c>
      <c r="C16" s="4" t="n"/>
      <c r="D16" s="4" t="n"/>
      <c r="E16" s="4" t="n"/>
      <c r="F16" s="4" t="n"/>
    </row>
    <row r="17">
      <c r="B17" s="6" t="inlineStr">
        <is>
          <t>Incremental feed g/t</t>
        </is>
      </c>
      <c r="C17" s="6" t="inlineStr">
        <is>
          <t>ROM uplift t/h</t>
        </is>
      </c>
      <c r="D17" s="6" t="inlineStr">
        <is>
          <t>Extra oz/a</t>
        </is>
      </c>
      <c r="E17" s="6" t="inlineStr">
        <is>
          <t>Net $/a</t>
        </is>
      </c>
      <c r="F17" s="6" t="inlineStr">
        <is>
          <t>NPV $</t>
        </is>
      </c>
    </row>
    <row r="18">
      <c r="B18" s="40" t="n">
        <v>0.8</v>
      </c>
      <c r="C18" s="15" t="n">
        <v>7.201533406352667</v>
      </c>
      <c r="D18" s="11" t="n">
        <v>521.6687143746269</v>
      </c>
      <c r="E18" s="11" t="n">
        <v>-1131473.773388669</v>
      </c>
      <c r="F18" s="38" t="n">
        <v>-9719824.521095792</v>
      </c>
    </row>
    <row r="19">
      <c r="B19" s="40" t="n">
        <v>1.2</v>
      </c>
      <c r="C19" s="15" t="n">
        <v>7.201533406352667</v>
      </c>
      <c r="D19" s="11" t="n">
        <v>1065.892720247396</v>
      </c>
      <c r="E19" s="11" t="n">
        <v>1045422.250102406</v>
      </c>
      <c r="F19" s="39" t="n">
        <v>1102041.986809907</v>
      </c>
    </row>
    <row r="20">
      <c r="B20" s="40" t="n">
        <v>1.6</v>
      </c>
      <c r="C20" s="15" t="n">
        <v>7.201533406352667</v>
      </c>
      <c r="D20" s="11" t="n">
        <v>1610.116726120175</v>
      </c>
      <c r="E20" s="11" t="n">
        <v>3222318.273593523</v>
      </c>
      <c r="F20" s="39" t="n">
        <v>11923908.49471581</v>
      </c>
    </row>
    <row r="21">
      <c r="B21" s="40" t="n">
        <v>2</v>
      </c>
      <c r="C21" s="15" t="n">
        <v>7.201533406352667</v>
      </c>
      <c r="D21" s="11" t="n">
        <v>2154.340731992944</v>
      </c>
      <c r="E21" s="11" t="n">
        <v>5399214.2970846</v>
      </c>
      <c r="F21" s="39" t="n">
        <v>22745775.00262152</v>
      </c>
    </row>
    <row r="22">
      <c r="B22" s="40" t="n">
        <v>2.4</v>
      </c>
      <c r="C22" s="15" t="n">
        <v>7.201533406352667</v>
      </c>
      <c r="D22" s="11" t="n">
        <v>2698.564737865702</v>
      </c>
      <c r="E22" s="11" t="n">
        <v>7576110.32057563</v>
      </c>
      <c r="F22" s="39" t="n">
        <v>33567641.51052701</v>
      </c>
    </row>
    <row r="23">
      <c r="B23" s="40" t="n">
        <v>3</v>
      </c>
      <c r="C23" s="15" t="n">
        <v>7.201533406352667</v>
      </c>
      <c r="D23" s="11" t="n">
        <v>3514.900746674844</v>
      </c>
      <c r="E23" s="11" t="n">
        <v>10841454.3558122</v>
      </c>
      <c r="F23" s="39" t="n">
        <v>49800441.27238534</v>
      </c>
    </row>
    <row r="26">
      <c r="B26" s="4" t="inlineStr">
        <is>
          <t xml:space="preserve">  C.  Measured scat grade  -  the single most important material property</t>
        </is>
      </c>
      <c r="C26" s="4" t="n"/>
      <c r="D26" s="4" t="n"/>
      <c r="E26" s="4" t="n"/>
      <c r="F26" s="4" t="n"/>
      <c r="G26" s="4" t="n"/>
    </row>
    <row r="27">
      <c r="B27" s="6" t="inlineStr">
        <is>
          <t>Scat grade g/t</t>
        </is>
      </c>
      <c r="C27" s="6" t="inlineStr">
        <is>
          <t>Contrast x</t>
        </is>
      </c>
      <c r="D27" s="6" t="inlineStr">
        <is>
          <t>Reject grade g/t</t>
        </is>
      </c>
      <c r="E27" s="6" t="inlineStr">
        <is>
          <t>Mass pull</t>
        </is>
      </c>
      <c r="F27" s="6" t="inlineStr">
        <is>
          <t>Net $/a</t>
        </is>
      </c>
      <c r="G27" s="6" t="inlineStr">
        <is>
          <t>NPV $</t>
        </is>
      </c>
    </row>
    <row r="28">
      <c r="B28" s="40" t="n">
        <v>0.5</v>
      </c>
      <c r="C28" s="15" t="n">
        <v>12.69230769263757</v>
      </c>
      <c r="D28" s="15" t="n">
        <v>0.06027516924919286</v>
      </c>
      <c r="E28" s="13" t="n">
        <v>0.5550303030336123</v>
      </c>
      <c r="F28" s="11" t="n">
        <v>18073950.13557444</v>
      </c>
      <c r="G28" s="39" t="n">
        <v>85754893.39272992</v>
      </c>
    </row>
    <row r="29">
      <c r="B29" s="40" t="n">
        <v>0.8</v>
      </c>
      <c r="C29" s="15" t="n">
        <v>7.451612903252887</v>
      </c>
      <c r="D29" s="15" t="n">
        <v>0.1039237142406425</v>
      </c>
      <c r="E29" s="13" t="n">
        <v>0.4826467481520899</v>
      </c>
      <c r="F29" s="11" t="n">
        <v>16196929.97013785</v>
      </c>
      <c r="G29" s="39" t="n">
        <v>76423780.90788727</v>
      </c>
    </row>
    <row r="30">
      <c r="B30" s="40" t="n">
        <v>1.2</v>
      </c>
      <c r="C30" s="15" t="n">
        <v>4.44827586206957</v>
      </c>
      <c r="D30" s="15" t="n">
        <v>0.1761652246720378</v>
      </c>
      <c r="E30" s="13" t="n">
        <v>0.3969643252825414</v>
      </c>
      <c r="F30" s="11" t="n">
        <v>13536549.66217588</v>
      </c>
      <c r="G30" s="39" t="n">
        <v>63198399.3359853</v>
      </c>
    </row>
    <row r="31">
      <c r="B31" s="40" t="n">
        <v>1.6</v>
      </c>
      <c r="C31" s="15" t="n">
        <v>2.851851851851855</v>
      </c>
      <c r="D31" s="15" t="n">
        <v>0.27551867219917</v>
      </c>
      <c r="E31" s="13" t="n">
        <v>0.3190644307149164</v>
      </c>
      <c r="F31" s="11" t="n">
        <v>10672874.07546342</v>
      </c>
      <c r="G31" s="39" t="n">
        <v>48962388.71033689</v>
      </c>
    </row>
    <row r="32">
      <c r="B32" s="40" t="n">
        <v>2</v>
      </c>
      <c r="C32" s="15" t="n">
        <v>1.799999999999999</v>
      </c>
      <c r="D32" s="15" t="n">
        <v>0.4288973384030423</v>
      </c>
      <c r="E32" s="13" t="n">
        <v>0.2448789571694599</v>
      </c>
      <c r="F32" s="11" t="n">
        <v>7576110.32057563</v>
      </c>
      <c r="G32" s="39" t="n">
        <v>33567641.51052701</v>
      </c>
    </row>
    <row r="33">
      <c r="B33" s="40" t="n">
        <v>2.4</v>
      </c>
      <c r="C33" s="15" t="n">
        <v>0.9999999999999991</v>
      </c>
      <c r="D33" s="15" t="n">
        <v>0.7157894736842113</v>
      </c>
      <c r="E33" s="13" t="n">
        <v>0.1706586826347305</v>
      </c>
      <c r="F33" s="11" t="n">
        <v>4210344.997129409</v>
      </c>
      <c r="G33" s="39" t="n">
        <v>16835623.70433877</v>
      </c>
    </row>
    <row r="36">
      <c r="B36" s="4" t="inlineStr">
        <is>
          <t xml:space="preserve">  D.  Sorter performance  (ore recovery / waste rejection)</t>
        </is>
      </c>
      <c r="C36" s="4" t="n"/>
      <c r="D36" s="4" t="n"/>
      <c r="E36" s="4" t="n"/>
      <c r="F36" s="4" t="n"/>
      <c r="G36" s="4" t="n"/>
    </row>
    <row r="37">
      <c r="B37" s="6" t="inlineStr">
        <is>
          <t>Ore rec / waste rej</t>
        </is>
      </c>
      <c r="C37" s="6" t="inlineStr">
        <is>
          <t>Mass pull</t>
        </is>
      </c>
      <c r="D37" s="6" t="inlineStr">
        <is>
          <t>Reject grade g/t</t>
        </is>
      </c>
      <c r="E37" s="6" t="inlineStr">
        <is>
          <t>Extra oz/a</t>
        </is>
      </c>
      <c r="F37" s="6" t="inlineStr">
        <is>
          <t>Net $/a</t>
        </is>
      </c>
      <c r="G37" s="6" t="inlineStr">
        <is>
          <t>NPV $</t>
        </is>
      </c>
    </row>
    <row r="38">
      <c r="B38" s="37" t="inlineStr">
        <is>
          <t>99% / 50%</t>
        </is>
      </c>
      <c r="C38" s="13" t="n">
        <v>0.1608996539792387</v>
      </c>
      <c r="D38" s="15" t="n">
        <v>0.1290322580645163</v>
      </c>
      <c r="E38" s="11" t="n">
        <v>2052.691483934354</v>
      </c>
      <c r="F38" s="11" t="n">
        <v>6053871.211811053</v>
      </c>
      <c r="G38" s="39" t="n">
        <v>26000229.81497657</v>
      </c>
    </row>
    <row r="39">
      <c r="B39" s="37" t="inlineStr">
        <is>
          <t>95% / 70%</t>
        </is>
      </c>
      <c r="C39" s="13" t="n">
        <v>0.2448789571694599</v>
      </c>
      <c r="D39" s="15" t="n">
        <v>0.4288973384030423</v>
      </c>
      <c r="E39" s="11" t="n">
        <v>2698.564737865702</v>
      </c>
      <c r="F39" s="11" t="n">
        <v>7576110.32057563</v>
      </c>
      <c r="G39" s="39" t="n">
        <v>33567641.51052701</v>
      </c>
    </row>
    <row r="40">
      <c r="B40" s="37" t="inlineStr">
        <is>
          <t>90% / 90%</t>
        </is>
      </c>
      <c r="C40" s="13" t="n">
        <v>0.3339350180505414</v>
      </c>
      <c r="D40" s="15" t="n">
        <v>0.6356756756756757</v>
      </c>
      <c r="E40" s="11" t="n">
        <v>3279.651029395763</v>
      </c>
      <c r="F40" s="11" t="n">
        <v>8781570.713777572</v>
      </c>
      <c r="G40" s="39" t="n">
        <v>39560271.06886403</v>
      </c>
    </row>
    <row r="41">
      <c r="B41" s="37" t="inlineStr">
        <is>
          <t>85% / 95%</t>
        </is>
      </c>
      <c r="C41" s="13" t="n">
        <v>0.3832737030411447</v>
      </c>
      <c r="D41" s="15" t="n">
        <v>0.8317386231038513</v>
      </c>
      <c r="E41" s="11" t="n">
        <v>3344.29459757605</v>
      </c>
      <c r="F41" s="11" t="n">
        <v>8411321.285592195</v>
      </c>
      <c r="G41" s="39" t="n">
        <v>37719673.33557179</v>
      </c>
    </row>
    <row r="44">
      <c r="B44" s="4" t="inlineStr">
        <is>
          <t xml:space="preserve">  E.  SLC dilution  -  drives the back-solved heterogeneity contrast</t>
        </is>
      </c>
      <c r="C44" s="4" t="n"/>
      <c r="D44" s="4" t="n"/>
      <c r="E44" s="4" t="n"/>
      <c r="F44" s="4" t="n"/>
      <c r="G44" s="4" t="n"/>
    </row>
    <row r="45">
      <c r="B45" s="6" t="inlineStr">
        <is>
          <t>Dilution</t>
        </is>
      </c>
      <c r="C45" s="6" t="inlineStr">
        <is>
          <t>Contrast x</t>
        </is>
      </c>
      <c r="D45" s="6" t="inlineStr">
        <is>
          <t>Mass pull</t>
        </is>
      </c>
      <c r="E45" s="6" t="inlineStr">
        <is>
          <t>Reject grade g/t</t>
        </is>
      </c>
      <c r="F45" s="6" t="inlineStr">
        <is>
          <t>Net $/a</t>
        </is>
      </c>
      <c r="G45" s="6" t="inlineStr">
        <is>
          <t>NPV $</t>
        </is>
      </c>
    </row>
    <row r="46">
      <c r="B46" s="37" t="inlineStr">
        <is>
          <t>10%</t>
        </is>
      </c>
      <c r="C46" s="15" t="n">
        <v>2.45454545454547</v>
      </c>
      <c r="D46" s="13" t="n">
        <v>0.1864406779661024</v>
      </c>
      <c r="E46" s="15" t="n">
        <v>0.5650349650349624</v>
      </c>
      <c r="F46" s="11" t="n">
        <v>5146371.279828811</v>
      </c>
      <c r="G46" s="39" t="n">
        <v>21488832.38769123</v>
      </c>
    </row>
    <row r="47">
      <c r="B47" s="37" t="inlineStr">
        <is>
          <t>15%</t>
        </is>
      </c>
      <c r="C47" s="15" t="n">
        <v>2.032258064516129</v>
      </c>
      <c r="D47" s="13" t="n">
        <v>0.2164003937305975</v>
      </c>
      <c r="E47" s="15" t="n">
        <v>0.4853743876836952</v>
      </c>
      <c r="F47" s="11" t="n">
        <v>6394747.572014087</v>
      </c>
      <c r="G47" s="39" t="n">
        <v>27694807.05982913</v>
      </c>
    </row>
    <row r="48">
      <c r="B48" s="37" t="inlineStr">
        <is>
          <t>20%</t>
        </is>
      </c>
      <c r="C48" s="15" t="n">
        <v>1.799999999999999</v>
      </c>
      <c r="D48" s="13" t="n">
        <v>0.2448789571694599</v>
      </c>
      <c r="E48" s="15" t="n">
        <v>0.4288973384030423</v>
      </c>
      <c r="F48" s="11" t="n">
        <v>7576110.32057563</v>
      </c>
      <c r="G48" s="39" t="n">
        <v>33567641.51052701</v>
      </c>
    </row>
    <row r="49">
      <c r="B49" s="37" t="inlineStr">
        <is>
          <t>25%</t>
        </is>
      </c>
      <c r="C49" s="15" t="n">
        <v>1.653061224489796</v>
      </c>
      <c r="D49" s="13" t="n">
        <v>0.2728176011355571</v>
      </c>
      <c r="E49" s="15" t="n">
        <v>0.385431841831426</v>
      </c>
      <c r="F49" s="11" t="n">
        <v>8733005.700064503</v>
      </c>
      <c r="G49" s="39" t="n">
        <v>39318842.86573166</v>
      </c>
    </row>
    <row r="50">
      <c r="B50" s="37" t="inlineStr">
        <is>
          <t>30%</t>
        </is>
      </c>
      <c r="C50" s="15" t="n">
        <v>1.551724137931034</v>
      </c>
      <c r="D50" s="13" t="n">
        <v>0.3005586592178771</v>
      </c>
      <c r="E50" s="15" t="n">
        <v>0.3505045140732876</v>
      </c>
      <c r="F50" s="11" t="n">
        <v>9881143.212659189</v>
      </c>
      <c r="G50" s="39" t="n">
        <v>45026506.78717735</v>
      </c>
    </row>
    <row r="53">
      <c r="B53" s="4" t="inlineStr">
        <is>
          <t xml:space="preserve">  F.  Gold price and discount rate</t>
        </is>
      </c>
      <c r="C53" s="4" t="n"/>
      <c r="D53" s="4" t="n"/>
      <c r="E53" s="4" t="n"/>
      <c r="F53" s="4" t="n"/>
    </row>
    <row r="54">
      <c r="B54" s="6" t="inlineStr">
        <is>
          <t>Gold price $/oz</t>
        </is>
      </c>
      <c r="C54" s="6" t="inlineStr">
        <is>
          <t>Net $/a</t>
        </is>
      </c>
      <c r="D54" s="6" t="inlineStr">
        <is>
          <t>NPV @8%</t>
        </is>
      </c>
      <c r="E54" s="6" t="inlineStr">
        <is>
          <t>NPV @10%</t>
        </is>
      </c>
      <c r="F54" s="6" t="inlineStr">
        <is>
          <t>NPV @15%</t>
        </is>
      </c>
    </row>
    <row r="55">
      <c r="B55" s="37" t="n">
        <v>2500</v>
      </c>
      <c r="C55" s="11" t="n">
        <v>3528263.213777077</v>
      </c>
      <c r="D55" s="41" t="n">
        <v>15109546.99691464</v>
      </c>
      <c r="E55" s="41" t="n">
        <v>13444833.36467169</v>
      </c>
      <c r="F55" s="41" t="n">
        <v>10020168.80743885</v>
      </c>
    </row>
    <row r="56">
      <c r="B56" s="37" t="n">
        <v>3000</v>
      </c>
      <c r="C56" s="11" t="n">
        <v>4877545.582709928</v>
      </c>
      <c r="D56" s="41" t="n">
        <v>22453771.36348042</v>
      </c>
      <c r="E56" s="41" t="n">
        <v>20152436.07995679</v>
      </c>
      <c r="F56" s="41" t="n">
        <v>15418107.46802981</v>
      </c>
    </row>
    <row r="57">
      <c r="B57" s="37" t="n">
        <v>3500</v>
      </c>
      <c r="C57" s="11" t="n">
        <v>6226827.951642781</v>
      </c>
      <c r="D57" s="41" t="n">
        <v>29797995.7300462</v>
      </c>
      <c r="E57" s="41" t="n">
        <v>26860038.79524191</v>
      </c>
      <c r="F57" s="41" t="n">
        <v>20816046.12862078</v>
      </c>
    </row>
    <row r="58">
      <c r="B58" s="37" t="n">
        <v>4000</v>
      </c>
      <c r="C58" s="11" t="n">
        <v>7576110.32057563</v>
      </c>
      <c r="D58" s="41" t="n">
        <v>37142220.09661198</v>
      </c>
      <c r="E58" s="41" t="n">
        <v>33567641.51052701</v>
      </c>
      <c r="F58" s="41" t="n">
        <v>26213984.78921172</v>
      </c>
    </row>
    <row r="59">
      <c r="B59" s="37" t="n">
        <v>4500</v>
      </c>
      <c r="C59" s="11" t="n">
        <v>8925392.689508483</v>
      </c>
      <c r="D59" s="41" t="n">
        <v>44486444.46317773</v>
      </c>
      <c r="E59" s="41" t="n">
        <v>40275244.22581213</v>
      </c>
      <c r="F59" s="41" t="n">
        <v>31611923.44980269</v>
      </c>
    </row>
    <row r="62">
      <c r="B62" s="42" t="inlineStr">
        <is>
          <t>NPV breakeven on capacity capture is ~29%; cash breakeven ~21%.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2026-08-05T08:48:26Z</dcterms:created>
  <dcterms:modified xsi:type="dcterms:W3CDTF">2026-08-05T08:48:27Z</dcterms:modified>
</cp:coreProperties>
</file>