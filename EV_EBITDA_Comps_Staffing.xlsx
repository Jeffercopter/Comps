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-EBITDA Comps - Staff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x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zherald.co.nz/business/economy/employment/infrawork-sold-to-asx-listed-peoplein-in-56m-immigration-labour-deal/F54YAHVVZBC57K4E5MHVCI54OQ/" TargetMode="External" Id="rId1" /><Relationship Type="http://schemas.openxmlformats.org/officeDocument/2006/relationships/hyperlink" Target="https://www.businessnewsaustralia.com/articles/peoplein-to-sell-first-choice-care-and-edmen.html" TargetMode="External" Id="rId2" /><Relationship Type="http://schemas.openxmlformats.org/officeDocument/2006/relationships/hyperlink" Target="https://www.listcorp.com/asx/ppe/peoplein-limited/news/peoplein-to-divest-techforce-personnel-3283656.html" TargetMode="External" Id="rId3" /><Relationship Type="http://schemas.openxmlformats.org/officeDocument/2006/relationships/hyperlink" Target="https://www.marketscreener.com/quote/stock/APM-HUMA-129330189/news/Madison-Dearborn-Partners-LLC-completed-the-acquisition-of-remaining-71-stake-in-APM-Human-Service-47940865/" TargetMode="External" Id="rId4" /><Relationship Type="http://schemas.openxmlformats.org/officeDocument/2006/relationships/hyperlink" Target="https://newsnreleases.com/2023/02/03/ashley-services-group-acquires-owen-pacific-workforce-for-up-to-15-9-million/" TargetMode="External" Id="rId5" /><Relationship Type="http://schemas.openxmlformats.org/officeDocument/2006/relationships/hyperlink" Target="https://www.listcorp.com/asx/apm/apm-human-services-international/news/apm-completes-acquisition-of-equus-workforce-solutions-2792468.html" TargetMode="External" Id="rId6" /><Relationship Type="http://schemas.openxmlformats.org/officeDocument/2006/relationships/hyperlink" Target="https://www.listcorp.com/asx/ash/ashley-services-group/news/ashley-acquires-major-shareholding-in-linc-personnel-2730158.html" TargetMode="External" Id="rId7" /><Relationship Type="http://schemas.openxmlformats.org/officeDocument/2006/relationships/hyperlink" Target="https://www.moneymorning.com.au/20220603/peoplein-asxppe-poised-to-take-fip-as-shares-spike.html" TargetMode="External" Id="rId8" /><Relationship Type="http://schemas.openxmlformats.org/officeDocument/2006/relationships/hyperlink" Target="https://themarketherald.com.au/peoplein-asxppe-to-acquire-perigon-group-2022-02-09/" TargetMode="External" Id="rId9" /><Relationship Type="http://schemas.openxmlformats.org/officeDocument/2006/relationships/hyperlink" Target="https://www.listcorp.com/asx/apm/apm-human-services-international/news/apm-completes-ipo-acquisitions-and-amp-swedish-market-entry-2652618.html" TargetMode="External" Id="rId10" /><Relationship Type="http://schemas.openxmlformats.org/officeDocument/2006/relationships/hyperlink" Target="https://www.staffingindustry.com/news/global-daily-news/australia-people-infrastructure-completes-acquisition-gmt-people" TargetMode="External" Id="rId11" /><Relationship Type="http://schemas.openxmlformats.org/officeDocument/2006/relationships/hyperlink" Target="https://www.proactiveinvestors.com/companies/news/965371/hiremii-s-inverse-acquisition-to-increase-revenue-client-base-and-footprint-965371.html" TargetMode="External" Id="rId12" /><Relationship Type="http://schemas.openxmlformats.org/officeDocument/2006/relationships/hyperlink" Target="https://www.marketscreener.com/quote/stock/PEOPLEIN-LIMITED-38467017/news/People-Infrastructure-Ltd-completed-the-acquisition-of-75-majority-stake-in-Vision-Surveys-Pty-Ltd-36025964/" TargetMode="External" Id="rId13" /><Relationship Type="http://schemas.openxmlformats.org/officeDocument/2006/relationships/hyperlink" Target="https://www.marketscreener.com/quote/stock/PEOPLEIN-LIMITED-38467017/news/People-Infrastructure-Ltd-entered-into-binding-agreements-to-acquire-Techforce-Personnel-Pty-Ltd-for-35497394/" TargetMode="External" Id="rId14" /><Relationship Type="http://schemas.openxmlformats.org/officeDocument/2006/relationships/hyperlink" Target="https://themarketherald.com.au/people-infrastructure-asxppe-purchases-swingshift-nurses-for-3-1m-2021-03-15/" TargetMode="External" Id="rId15" /><Relationship Type="http://schemas.openxmlformats.org/officeDocument/2006/relationships/hyperlink" Target="https://www.proactiveinvestors.com/companies/news/960608/hiremii-well-funded-to-advance-ai-cloud-recruitment-platform-960608.html" TargetMode="External" Id="rId16" /><Relationship Type="http://schemas.openxmlformats.org/officeDocument/2006/relationships/hyperlink" Target="https://announcements.asx.com.au/asxpdf/20210826/pdf/44zrh6npzvxvmm.pdf" TargetMode="External" Id="rId17" /><Relationship Type="http://schemas.openxmlformats.org/officeDocument/2006/relationships/hyperlink" Target="https://www.listcorp.com/asx/ppe/people-infrastructure-ltd/news/completion-of-ecareers-and-illuminate-acquistions-2499487.html" TargetMode="External" Id="rId18" /><Relationship Type="http://schemas.openxmlformats.org/officeDocument/2006/relationships/hyperlink" Target="https://ashleyservicesgroup.com.au/investor-centre/" TargetMode="External" Id="rId19" /><Relationship Type="http://schemas.openxmlformats.org/officeDocument/2006/relationships/hyperlink" Target="https://michaelwest.com.au/apm-promoters-exit-jobless-profits-in-asx-float-turn-to-profiteering-from-disabled/" TargetMode="External" Id="rId20" /><Relationship Type="http://schemas.openxmlformats.org/officeDocument/2006/relationships/hyperlink" Target="https://www.staffingindustry.com/news/global-daily-news/australia-ashley-services-acquires-ccl-group" TargetMode="External" Id="rId21" /><Relationship Type="http://schemas.openxmlformats.org/officeDocument/2006/relationships/hyperlink" Target="https://www.businessnewsaustralia.com/articles/people-infrastructure-acquires-nursing-recruitment-firms.html" TargetMode="External" Id="rId22" /><Relationship Type="http://schemas.openxmlformats.org/officeDocument/2006/relationships/hyperlink" Target="https://www.marketscreener.com/quote/stock/PEOPLEIN-LIMITED-38467017/news/People-Infrastructure-Ltd-completed-the-acquisition-of-Carestaff-Nursing-Services-Pty-Ltd-for-AUD-5-34255922/" TargetMode="External" Id="rId23" /><Relationship Type="http://schemas.openxmlformats.org/officeDocument/2006/relationships/hyperlink" Target="https://www.businessnewsaustralia.com/articles/people-infrastructure-buys-halcyon-knights-for--13-5m.html" TargetMode="External" Id="rId24" /><Relationship Type="http://schemas.openxmlformats.org/officeDocument/2006/relationships/hyperlink" Target="https://www.businessnewsaustralia.com/articles/steve-scanlan-sells-remaining-stake-in-recon-group.html" TargetMode="External" Id="rId25" /><Relationship Type="http://schemas.openxmlformats.org/officeDocument/2006/relationships/hyperlink" Target="https://www.finnewsnetwork.com.au/archives/finance_news_network222179.html" TargetMode="External" Id="rId26" /><Relationship Type="http://schemas.openxmlformats.org/officeDocument/2006/relationships/hyperlink" Target="https://www.staffingindustry.com/news/global-daily-news/australia-people-infrastructure-acquires-nursing-agency-business" TargetMode="External" Id="rId27" /><Relationship Type="http://schemas.openxmlformats.org/officeDocument/2006/relationships/hyperlink" Target="https://www.proactiveinvestors.com.au/companies/news/189851/people-infrastructure-s-acquisition-will-drive-revenue-higher-189851.html" TargetMode="External" Id="rId28" /><Relationship Type="http://schemas.openxmlformats.org/officeDocument/2006/relationships/hyperlink" Target="https://www.marketscreener.com/quote/stock/PEOPLEIN-LIMITED-38467017/news/People-Infrastructure-Ltd-acquired-AWX-Pty-Ltd-for-AUD-18-4-million-35119752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6" customWidth="1" min="8" max="8"/>
    <col width="90" customWidth="1" min="9" max="9"/>
  </cols>
  <sheetData>
    <row r="1" ht="35" customHeight="1">
      <c r="A1" s="1" t="inlineStr">
        <is>
          <t>Target</t>
        </is>
      </c>
      <c r="B1" s="1" t="inlineStr">
        <is>
          <t>Acquirer</t>
        </is>
      </c>
      <c r="C1" s="1" t="inlineStr">
        <is>
          <t>Percentage
Acquired (%)</t>
        </is>
      </c>
      <c r="D1" s="1" t="inlineStr">
        <is>
          <t>Country</t>
        </is>
      </c>
      <c r="E1" s="1" t="inlineStr">
        <is>
          <t>Completion
Date</t>
        </is>
      </c>
      <c r="F1" s="1" t="inlineStr">
        <is>
          <t>EBITDA
(A$m)</t>
        </is>
      </c>
      <c r="G1" s="1" t="inlineStr">
        <is>
          <t>Enterprise
Value (A$m)</t>
        </is>
      </c>
      <c r="H1" s="1" t="inlineStr">
        <is>
          <t>EV/EBITDA
Multiple</t>
        </is>
      </c>
      <c r="I1" s="1" t="inlineStr">
        <is>
          <t>Source</t>
        </is>
      </c>
    </row>
    <row r="2">
      <c r="A2" s="2" t="inlineStr">
        <is>
          <t>Infrawork Holdings Limited</t>
        </is>
      </c>
      <c r="B2" s="2" t="inlineStr">
        <is>
          <t>Peoplein Limited</t>
        </is>
      </c>
      <c r="C2" s="3" t="n">
        <v>1</v>
      </c>
      <c r="D2" s="4" t="inlineStr">
        <is>
          <t>New Zealand</t>
        </is>
      </c>
      <c r="E2" s="4" t="inlineStr">
        <is>
          <t>Feb-26</t>
        </is>
      </c>
      <c r="F2" s="5" t="n">
        <v>4.6</v>
      </c>
      <c r="G2" s="5" t="n">
        <v>22</v>
      </c>
      <c r="H2" s="6">
        <f>G2/F2</f>
        <v/>
      </c>
      <c r="I2" s="7" t="inlineStr">
        <is>
          <t>https://www.nzherald.co.nz/business/economy/employment/infrawork-sold-to-asx-listed-peoplein-in-56m-immigration-labour-deal/F54YAHVVZBC57K4E5MHVCI54OQ/</t>
        </is>
      </c>
    </row>
    <row r="3">
      <c r="A3" s="2" t="inlineStr">
        <is>
          <t>First Choice Care/Edmen</t>
        </is>
      </c>
      <c r="B3" s="2" t="inlineStr">
        <is>
          <t>Healthcare Australia Pty Ltd.</t>
        </is>
      </c>
      <c r="C3" s="3" t="n">
        <v>1</v>
      </c>
      <c r="D3" s="4" t="inlineStr">
        <is>
          <t>Australia</t>
        </is>
      </c>
      <c r="E3" s="4" t="inlineStr">
        <is>
          <t>Dec-25</t>
        </is>
      </c>
      <c r="F3" s="5" t="n">
        <v>3.27</v>
      </c>
      <c r="G3" s="5" t="n">
        <v>20.25</v>
      </c>
      <c r="H3" s="6">
        <f>G3/F3</f>
        <v/>
      </c>
      <c r="I3" s="7" t="inlineStr">
        <is>
          <t>https://www.businessnewsaustralia.com/articles/peoplein-to-sell-first-choice-care-and-edmen.html</t>
        </is>
      </c>
    </row>
    <row r="4">
      <c r="A4" s="2" t="inlineStr">
        <is>
          <t>Techforce Personnel Pty Limited</t>
        </is>
      </c>
      <c r="B4" s="2" t="inlineStr">
        <is>
          <t>ina.</t>
        </is>
      </c>
      <c r="C4" s="3" t="n">
        <v>0.79</v>
      </c>
      <c r="D4" s="4" t="inlineStr">
        <is>
          <t>Australia</t>
        </is>
      </c>
      <c r="E4" s="4" t="inlineStr">
        <is>
          <t>Dec-25</t>
        </is>
      </c>
      <c r="F4" s="4" t="inlineStr">
        <is>
          <t>Not Disclosed</t>
        </is>
      </c>
      <c r="G4" s="5" t="n">
        <v>23.5</v>
      </c>
      <c r="H4" s="4" t="inlineStr">
        <is>
          <t>Not Disclosed</t>
        </is>
      </c>
      <c r="I4" s="7" t="inlineStr">
        <is>
          <t>https://www.listcorp.com/asx/ppe/peoplein-limited/news/peoplein-to-divest-techforce-personnel-3283656.html</t>
        </is>
      </c>
    </row>
    <row r="5">
      <c r="A5" s="2" t="inlineStr">
        <is>
          <t>APM Human Services International Limited</t>
        </is>
      </c>
      <c r="B5" s="2" t="inlineStr">
        <is>
          <t>Madison Dearborn Partners, LLC</t>
        </is>
      </c>
      <c r="C5" s="3" t="n">
        <v>0.71</v>
      </c>
      <c r="D5" s="4" t="inlineStr">
        <is>
          <t>Australia</t>
        </is>
      </c>
      <c r="E5" s="4" t="inlineStr">
        <is>
          <t>Sep-24</t>
        </is>
      </c>
      <c r="F5" s="5" t="n">
        <v>281</v>
      </c>
      <c r="G5" s="5" t="n">
        <v>2100</v>
      </c>
      <c r="H5" s="6">
        <f>G5/F5</f>
        <v/>
      </c>
      <c r="I5" s="7" t="inlineStr">
        <is>
          <t>https://www.marketscreener.com/quote/stock/APM-HUMA-129330189/news/Madison-Dearborn-Partners-LLC-completed-the-acquisition-of-remaining-71-stake-in-APM-Human-Service-47940865/</t>
        </is>
      </c>
    </row>
    <row r="6">
      <c r="A6" s="2" t="inlineStr">
        <is>
          <t>Owen Pacific Workforce Pty Ltd</t>
        </is>
      </c>
      <c r="B6" s="2" t="inlineStr">
        <is>
          <t>Ashley Services Group Limited</t>
        </is>
      </c>
      <c r="C6" s="3" t="n">
        <v>1</v>
      </c>
      <c r="D6" s="4" t="inlineStr">
        <is>
          <t>Australia</t>
        </is>
      </c>
      <c r="E6" s="4" t="inlineStr">
        <is>
          <t>Feb-23</t>
        </is>
      </c>
      <c r="F6" s="5" t="n">
        <v>4.5</v>
      </c>
      <c r="G6" s="5" t="n">
        <v>15</v>
      </c>
      <c r="H6" s="6">
        <f>G6/F6</f>
        <v/>
      </c>
      <c r="I6" s="7" t="inlineStr">
        <is>
          <t>https://newsnreleases.com/2023/02/03/ashley-services-group-acquires-owen-pacific-workforce-for-up-to-15-9-million/</t>
        </is>
      </c>
    </row>
    <row r="7">
      <c r="A7" s="2" t="inlineStr">
        <is>
          <t>Arbor E&amp;T, LLC (dba Equus Workforce Solutions)</t>
        </is>
      </c>
      <c r="B7" s="2" t="inlineStr">
        <is>
          <t>APM Human Services International Limited</t>
        </is>
      </c>
      <c r="C7" s="3" t="n">
        <v>1</v>
      </c>
      <c r="D7" s="4" t="inlineStr">
        <is>
          <t>United States</t>
        </is>
      </c>
      <c r="E7" s="4" t="inlineStr">
        <is>
          <t>Nov-22</t>
        </is>
      </c>
      <c r="F7" s="5" t="n">
        <v>50</v>
      </c>
      <c r="G7" s="5" t="n">
        <v>239.8</v>
      </c>
      <c r="H7" s="6">
        <f>G7/F7</f>
        <v/>
      </c>
      <c r="I7" s="7" t="inlineStr">
        <is>
          <t>https://www.listcorp.com/asx/apm/apm-human-services-international/news/apm-completes-acquisition-of-equus-workforce-solutions-2792468.html</t>
        </is>
      </c>
    </row>
    <row r="8">
      <c r="A8" s="2" t="inlineStr">
        <is>
          <t>Linc Personnel Pty Ltd</t>
        </is>
      </c>
      <c r="B8" s="2" t="inlineStr">
        <is>
          <t>Ashley Services Group Limited</t>
        </is>
      </c>
      <c r="C8" s="3" t="n">
        <v>0.75</v>
      </c>
      <c r="D8" s="4" t="inlineStr">
        <is>
          <t>Australia</t>
        </is>
      </c>
      <c r="E8" s="4" t="inlineStr">
        <is>
          <t>Jul-22</t>
        </is>
      </c>
      <c r="F8" s="5" t="n">
        <v>1.4</v>
      </c>
      <c r="G8" s="5" t="n">
        <v>5.6</v>
      </c>
      <c r="H8" s="6">
        <f>G8/F8</f>
        <v/>
      </c>
      <c r="I8" s="7" t="inlineStr">
        <is>
          <t>https://www.listcorp.com/asx/ash/ashley-services-group/news/ashley-acquires-major-shareholding-in-linc-personnel-2730158.html</t>
        </is>
      </c>
    </row>
    <row r="9">
      <c r="A9" s="2" t="inlineStr">
        <is>
          <t>FIP Group Holdings Pty Ltd</t>
        </is>
      </c>
      <c r="B9" s="2" t="inlineStr">
        <is>
          <t>Peoplein Limited</t>
        </is>
      </c>
      <c r="C9" s="3" t="n">
        <v>1</v>
      </c>
      <c r="D9" s="4" t="inlineStr">
        <is>
          <t>Australia</t>
        </is>
      </c>
      <c r="E9" s="4" t="inlineStr">
        <is>
          <t>Jun-22</t>
        </is>
      </c>
      <c r="F9" s="5" t="n">
        <v>9.5</v>
      </c>
      <c r="G9" s="5" t="n">
        <v>45</v>
      </c>
      <c r="H9" s="6">
        <f>G9/F9</f>
        <v/>
      </c>
      <c r="I9" s="7" t="inlineStr">
        <is>
          <t>https://www.moneymorning.com.au/20220603/peoplein-asxppe-poised-to-take-fip-as-shares-spike.html</t>
        </is>
      </c>
    </row>
    <row r="10">
      <c r="A10" s="2" t="inlineStr">
        <is>
          <t>Perigon Group Pty Ltd</t>
        </is>
      </c>
      <c r="B10" s="2" t="inlineStr">
        <is>
          <t>Peoplein Limited</t>
        </is>
      </c>
      <c r="C10" s="3" t="n">
        <v>1</v>
      </c>
      <c r="D10" s="4" t="inlineStr">
        <is>
          <t>Australia</t>
        </is>
      </c>
      <c r="E10" s="4" t="inlineStr">
        <is>
          <t>Feb-22</t>
        </is>
      </c>
      <c r="F10" s="5" t="n">
        <v>4.3</v>
      </c>
      <c r="G10" s="5" t="n">
        <v>16</v>
      </c>
      <c r="H10" s="6">
        <f>G10/F10</f>
        <v/>
      </c>
      <c r="I10" s="7" t="inlineStr">
        <is>
          <t>https://themarketherald.com.au/peoplein-asxppe-to-acquire-perigon-group-2022-02-09/</t>
        </is>
      </c>
    </row>
    <row r="11">
      <c r="A11" s="2" t="inlineStr">
        <is>
          <t>Clustera Sverige AB</t>
        </is>
      </c>
      <c r="B11" s="2" t="inlineStr">
        <is>
          <t>APM Human Services International Limited</t>
        </is>
      </c>
      <c r="C11" s="3" t="n">
        <v>1</v>
      </c>
      <c r="D11" s="4" t="inlineStr">
        <is>
          <t>Sweden</t>
        </is>
      </c>
      <c r="E11" s="4" t="inlineStr">
        <is>
          <t>Jan-22</t>
        </is>
      </c>
      <c r="F11" s="5" t="n">
        <v>2</v>
      </c>
      <c r="G11" s="5" t="n">
        <v>15</v>
      </c>
      <c r="H11" s="6">
        <f>G11/F11</f>
        <v/>
      </c>
      <c r="I11" s="7" t="inlineStr">
        <is>
          <t>https://www.listcorp.com/asx/apm/apm-human-services-international/news/apm-completes-ipo-acquisitions-and-amp-swedish-market-entry-2652618.html</t>
        </is>
      </c>
    </row>
    <row r="12">
      <c r="A12" s="2" t="inlineStr">
        <is>
          <t>GMT Group Pty Ltd</t>
        </is>
      </c>
      <c r="B12" s="2" t="inlineStr">
        <is>
          <t>People Infrastructure Ltd (nka: Peoplein Limited)</t>
        </is>
      </c>
      <c r="C12" s="3" t="n">
        <v>1</v>
      </c>
      <c r="D12" s="4" t="inlineStr">
        <is>
          <t>Australia</t>
        </is>
      </c>
      <c r="E12" s="4" t="inlineStr">
        <is>
          <t>Dec-21</t>
        </is>
      </c>
      <c r="F12" s="4" t="inlineStr">
        <is>
          <t>Not Disclosed</t>
        </is>
      </c>
      <c r="G12" s="4" t="inlineStr">
        <is>
          <t>Not Disclosed</t>
        </is>
      </c>
      <c r="H12" s="4" t="inlineStr">
        <is>
          <t>Not Disclosed</t>
        </is>
      </c>
      <c r="I12" s="7" t="inlineStr">
        <is>
          <t>https://www.staffingindustry.com/news/global-daily-news/australia-people-infrastructure-completes-acquisition-gmt-people</t>
        </is>
      </c>
    </row>
    <row r="13">
      <c r="A13" s="2" t="inlineStr">
        <is>
          <t>Inverse Group Pty. Ltd.</t>
        </is>
      </c>
      <c r="B13" s="2" t="inlineStr">
        <is>
          <t>Hiremii Limited</t>
        </is>
      </c>
      <c r="C13" s="3" t="n">
        <v>1</v>
      </c>
      <c r="D13" s="4" t="inlineStr">
        <is>
          <t>Australia</t>
        </is>
      </c>
      <c r="E13" s="4" t="inlineStr">
        <is>
          <t>Nov-21</t>
        </is>
      </c>
      <c r="F13" s="4" t="inlineStr">
        <is>
          <t>Not Disclosed</t>
        </is>
      </c>
      <c r="G13" s="5" t="n">
        <v>1.5</v>
      </c>
      <c r="H13" s="4" t="inlineStr">
        <is>
          <t>Not Disclosed</t>
        </is>
      </c>
      <c r="I13" s="7" t="inlineStr">
        <is>
          <t>https://www.proactiveinvestors.com/companies/news/965371/hiremii-s-inverse-acquisition-to-increase-revenue-client-base-and-footprint-965371.html</t>
        </is>
      </c>
    </row>
    <row r="14">
      <c r="A14" s="2" t="inlineStr">
        <is>
          <t>Vision Surveys (QLD) Pty Ltd</t>
        </is>
      </c>
      <c r="B14" s="2" t="inlineStr">
        <is>
          <t>People Infrastructure Ltd (nka: Peoplein Limited)</t>
        </is>
      </c>
      <c r="C14" s="3" t="n">
        <v>0.75</v>
      </c>
      <c r="D14" s="4" t="inlineStr">
        <is>
          <t>Australia</t>
        </is>
      </c>
      <c r="E14" s="4" t="inlineStr">
        <is>
          <t>Jul-21</t>
        </is>
      </c>
      <c r="F14" s="4" t="inlineStr">
        <is>
          <t>Not Disclosed</t>
        </is>
      </c>
      <c r="G14" s="5" t="n">
        <v>6.7</v>
      </c>
      <c r="H14" s="4" t="inlineStr">
        <is>
          <t>Not Disclosed</t>
        </is>
      </c>
      <c r="I14" s="7" t="inlineStr">
        <is>
          <t>https://www.marketscreener.com/quote/stock/PEOPLEIN-LIMITED-38467017/news/People-Infrastructure-Ltd-completed-the-acquisition-of-75-majority-stake-in-Vision-Surveys-Pty-Ltd-36025964/</t>
        </is>
      </c>
    </row>
    <row r="15">
      <c r="A15" s="2" t="inlineStr">
        <is>
          <t>Techforce Personnel Limited</t>
        </is>
      </c>
      <c r="B15" s="2" t="inlineStr">
        <is>
          <t>People Infrastructure Ltd (nka: Peoplein Limited)</t>
        </is>
      </c>
      <c r="C15" s="3" t="n">
        <v>0.79</v>
      </c>
      <c r="D15" s="4" t="inlineStr">
        <is>
          <t>Australia</t>
        </is>
      </c>
      <c r="E15" s="4" t="inlineStr">
        <is>
          <t>Jun-21</t>
        </is>
      </c>
      <c r="F15" s="4" t="inlineStr">
        <is>
          <t>Not Disclosed</t>
        </is>
      </c>
      <c r="G15" s="5" t="n">
        <v>30</v>
      </c>
      <c r="H15" s="4" t="inlineStr">
        <is>
          <t>Not Disclosed</t>
        </is>
      </c>
      <c r="I15" s="7" t="inlineStr">
        <is>
          <t>https://www.marketscreener.com/quote/stock/PEOPLEIN-LIMITED-38467017/news/People-Infrastructure-Ltd-entered-into-binding-agreements-to-acquire-Techforce-Personnel-Pty-Ltd-for-35497394/</t>
        </is>
      </c>
    </row>
    <row r="16">
      <c r="A16" s="2" t="inlineStr">
        <is>
          <t>Business of SwingShift Nurses</t>
        </is>
      </c>
      <c r="B16" s="2" t="inlineStr">
        <is>
          <t>People Infrastructure Ltd (nka: Peoplein Limited)</t>
        </is>
      </c>
      <c r="C16" s="3" t="n">
        <v>1</v>
      </c>
      <c r="D16" s="4" t="inlineStr">
        <is>
          <t>Australia</t>
        </is>
      </c>
      <c r="E16" s="4" t="inlineStr">
        <is>
          <t>Mar-21</t>
        </is>
      </c>
      <c r="F16" s="5" t="n">
        <v>1</v>
      </c>
      <c r="G16" s="5" t="n">
        <v>3.1</v>
      </c>
      <c r="H16" s="6">
        <f>G16/F16</f>
        <v/>
      </c>
      <c r="I16" s="7" t="inlineStr">
        <is>
          <t>https://themarketherald.com.au/people-infrastructure-asxppe-purchases-swingshift-nurses-for-3-1m-2021-03-15/</t>
        </is>
      </c>
    </row>
    <row r="17">
      <c r="A17" s="2" t="inlineStr">
        <is>
          <t>Oncontractor Pty. Ltd.</t>
        </is>
      </c>
      <c r="B17" s="2" t="inlineStr">
        <is>
          <t>Hiremii Limited</t>
        </is>
      </c>
      <c r="C17" s="3" t="n">
        <v>1</v>
      </c>
      <c r="D17" s="4" t="inlineStr">
        <is>
          <t>Australia</t>
        </is>
      </c>
      <c r="E17" s="4" t="inlineStr">
        <is>
          <t>Feb-21</t>
        </is>
      </c>
      <c r="F17" s="4" t="inlineStr">
        <is>
          <t>Not Disclosed</t>
        </is>
      </c>
      <c r="G17" s="4" t="inlineStr">
        <is>
          <t>Not Disclosed</t>
        </is>
      </c>
      <c r="H17" s="4" t="inlineStr">
        <is>
          <t>Not Disclosed</t>
        </is>
      </c>
      <c r="I17" s="7" t="inlineStr">
        <is>
          <t>https://www.proactiveinvestors.com/companies/news/960608/hiremii-well-funded-to-advance-ai-cloud-recruitment-platform-960608.html</t>
        </is>
      </c>
    </row>
    <row r="18">
      <c r="A18" s="2" t="inlineStr">
        <is>
          <t>Assets of ECT4Health Pty Ltd</t>
        </is>
      </c>
      <c r="B18" s="2" t="inlineStr">
        <is>
          <t>People Infrastructure Ltd (nka: Peoplein Limited)</t>
        </is>
      </c>
      <c r="C18" s="3" t="n">
        <v>1</v>
      </c>
      <c r="D18" s="4" t="inlineStr">
        <is>
          <t>Australia</t>
        </is>
      </c>
      <c r="E18" s="4" t="inlineStr">
        <is>
          <t>Feb-21</t>
        </is>
      </c>
      <c r="F18" s="4" t="inlineStr">
        <is>
          <t>Not Disclosed</t>
        </is>
      </c>
      <c r="G18" s="4" t="inlineStr">
        <is>
          <t>Not Disclosed</t>
        </is>
      </c>
      <c r="H18" s="4" t="inlineStr">
        <is>
          <t>Not Disclosed</t>
        </is>
      </c>
      <c r="I18" s="7" t="inlineStr">
        <is>
          <t>https://announcements.asx.com.au/asxpdf/20210826/pdf/44zrh6npzvxvmm.pdf</t>
        </is>
      </c>
    </row>
    <row r="19">
      <c r="A19" s="2" t="inlineStr">
        <is>
          <t>Ecareer Employment Services Pty Ltd / Illuminate Search and Consulting</t>
        </is>
      </c>
      <c r="B19" s="2" t="inlineStr">
        <is>
          <t>People Infrastructure Ltd (nka: Peoplein Limited)</t>
        </is>
      </c>
      <c r="C19" s="3" t="n">
        <v>1</v>
      </c>
      <c r="D19" s="4" t="inlineStr">
        <is>
          <t>Australia</t>
        </is>
      </c>
      <c r="E19" s="4" t="inlineStr">
        <is>
          <t>Jan-21</t>
        </is>
      </c>
      <c r="F19" s="5" t="n">
        <v>1.3</v>
      </c>
      <c r="G19" s="5" t="n">
        <v>5.2</v>
      </c>
      <c r="H19" s="6">
        <f>G19/F19</f>
        <v/>
      </c>
      <c r="I19" s="7" t="inlineStr">
        <is>
          <t>https://www.listcorp.com/asx/ppe/people-infrastructure-ltd/news/completion-of-ecareers-and-illuminate-acquistions-2499487.html</t>
        </is>
      </c>
    </row>
    <row r="20">
      <c r="A20" s="2" t="inlineStr">
        <is>
          <t>The Instruction Company Pty Ltd</t>
        </is>
      </c>
      <c r="B20" s="2" t="inlineStr">
        <is>
          <t>Ashley Services Group Limited</t>
        </is>
      </c>
      <c r="C20" s="3" t="n">
        <v>1</v>
      </c>
      <c r="D20" s="4" t="inlineStr">
        <is>
          <t>Australia</t>
        </is>
      </c>
      <c r="E20" s="4" t="inlineStr">
        <is>
          <t>Sep-20</t>
        </is>
      </c>
      <c r="F20" s="4" t="inlineStr">
        <is>
          <t>Not Disclosed</t>
        </is>
      </c>
      <c r="G20" s="4" t="inlineStr">
        <is>
          <t>Not Disclosed</t>
        </is>
      </c>
      <c r="H20" s="4" t="inlineStr">
        <is>
          <t>Not Disclosed</t>
        </is>
      </c>
      <c r="I20" s="7" t="inlineStr">
        <is>
          <t>https://ashleyservicesgroup.com.au/investor-centre/</t>
        </is>
      </c>
    </row>
    <row r="21">
      <c r="A21" s="2" t="inlineStr">
        <is>
          <t>Serendipity (WA) Pty Ltd (t/a APM)</t>
        </is>
      </c>
      <c r="B21" s="2" t="inlineStr">
        <is>
          <t>Madison Dearborn Partners, LLC</t>
        </is>
      </c>
      <c r="C21" s="3" t="n">
        <v>0.55</v>
      </c>
      <c r="D21" s="4" t="inlineStr">
        <is>
          <t>Australia</t>
        </is>
      </c>
      <c r="E21" s="4" t="inlineStr">
        <is>
          <t>Jun-20</t>
        </is>
      </c>
      <c r="F21" s="5" t="n">
        <v>148.4</v>
      </c>
      <c r="G21" s="5" t="n">
        <v>1600</v>
      </c>
      <c r="H21" s="6">
        <f>G21/F21</f>
        <v/>
      </c>
      <c r="I21" s="7" t="inlineStr">
        <is>
          <t>https://michaelwest.com.au/apm-promoters-exit-jobless-profits-in-asx-float-turn-to-profiteering-from-disabled/</t>
        </is>
      </c>
    </row>
    <row r="22">
      <c r="A22" s="2" t="inlineStr">
        <is>
          <t>Ccl Group Holdings Pty. Ltd.</t>
        </is>
      </c>
      <c r="B22" s="2" t="inlineStr">
        <is>
          <t>Ashley Services Group Limited</t>
        </is>
      </c>
      <c r="C22" s="3" t="n">
        <v>0.8</v>
      </c>
      <c r="D22" s="4" t="inlineStr">
        <is>
          <t>Australia</t>
        </is>
      </c>
      <c r="E22" s="4" t="inlineStr">
        <is>
          <t>Dec-19</t>
        </is>
      </c>
      <c r="F22" s="5" t="n">
        <v>4.1</v>
      </c>
      <c r="G22" s="5" t="n">
        <v>14</v>
      </c>
      <c r="H22" s="6">
        <f>G22/F22</f>
        <v/>
      </c>
      <c r="I22" s="7" t="inlineStr">
        <is>
          <t>https://www.staffingindustry.com/news/global-daily-news/australia-ashley-services-acquires-ccl-group</t>
        </is>
      </c>
    </row>
    <row r="23">
      <c r="A23" s="2" t="inlineStr">
        <is>
          <t>First Choice Care Pty. Ltd.</t>
        </is>
      </c>
      <c r="B23" s="2" t="inlineStr">
        <is>
          <t>People Infrastructure Ltd (nka: Peoplein Limited)</t>
        </is>
      </c>
      <c r="C23" s="3" t="n">
        <v>1</v>
      </c>
      <c r="D23" s="4" t="inlineStr">
        <is>
          <t>Australia</t>
        </is>
      </c>
      <c r="E23" s="4" t="inlineStr">
        <is>
          <t>Jul-19</t>
        </is>
      </c>
      <c r="F23" s="4" t="inlineStr">
        <is>
          <t>Not Disclosed</t>
        </is>
      </c>
      <c r="G23" s="5" t="n">
        <v>11</v>
      </c>
      <c r="H23" s="4" t="inlineStr">
        <is>
          <t>Not Disclosed</t>
        </is>
      </c>
      <c r="I23" s="7" t="inlineStr">
        <is>
          <t>https://www.businessnewsaustralia.com/articles/people-infrastructure-acquires-nursing-recruitment-firms.html</t>
        </is>
      </c>
    </row>
    <row r="24">
      <c r="A24" s="2" t="inlineStr">
        <is>
          <t>Carestaff Healthcare Solutions Pty Ltd</t>
        </is>
      </c>
      <c r="B24" s="2" t="inlineStr">
        <is>
          <t>People Infrastructure Ltd (nka: Peoplein Limited)</t>
        </is>
      </c>
      <c r="C24" s="3" t="n">
        <v>1</v>
      </c>
      <c r="D24" s="4" t="inlineStr">
        <is>
          <t>Australia</t>
        </is>
      </c>
      <c r="E24" s="4" t="inlineStr">
        <is>
          <t>Jun-19</t>
        </is>
      </c>
      <c r="F24" s="4" t="inlineStr">
        <is>
          <t>Not Disclosed</t>
        </is>
      </c>
      <c r="G24" s="5" t="n">
        <v>5.8</v>
      </c>
      <c r="H24" s="4" t="inlineStr">
        <is>
          <t>Not Disclosed</t>
        </is>
      </c>
      <c r="I24" s="7" t="inlineStr">
        <is>
          <t>https://www.marketscreener.com/quote/stock/PEOPLEIN-LIMITED-38467017/news/People-Infrastructure-Ltd-completed-the-acquisition-of-Carestaff-Nursing-Services-Pty-Ltd-for-AUD-5-34255922/</t>
        </is>
      </c>
    </row>
    <row r="25">
      <c r="A25" s="2" t="inlineStr">
        <is>
          <t>Halcyon Knights / Halcyon Knights Commercial and Contracting</t>
        </is>
      </c>
      <c r="B25" s="2" t="inlineStr">
        <is>
          <t>People Infrastructure Ltd (nka: Peoplein Limited)</t>
        </is>
      </c>
      <c r="C25" s="3" t="n">
        <v>1</v>
      </c>
      <c r="D25" s="4" t="inlineStr">
        <is>
          <t>Australia</t>
        </is>
      </c>
      <c r="E25" s="4" t="inlineStr">
        <is>
          <t>Jun-19</t>
        </is>
      </c>
      <c r="F25" s="5" t="n">
        <v>3.9</v>
      </c>
      <c r="G25" s="5" t="n">
        <v>13.5</v>
      </c>
      <c r="H25" s="6">
        <f>G25/F25</f>
        <v/>
      </c>
      <c r="I25" s="7" t="inlineStr">
        <is>
          <t>https://www.businessnewsaustralia.com/articles/people-infrastructure-buys-halcyon-knights-for--13-5m.html</t>
        </is>
      </c>
    </row>
    <row r="26">
      <c r="A26" s="2" t="inlineStr">
        <is>
          <t>Remaining Shares in Recon Solutions Pty Ltd and Project Partners Corp</t>
        </is>
      </c>
      <c r="B26" s="2" t="inlineStr">
        <is>
          <t>People Infrastructure Ltd (nka: Peoplein Limited)</t>
        </is>
      </c>
      <c r="C26" s="3" t="n">
        <v>1</v>
      </c>
      <c r="D26" s="4" t="inlineStr">
        <is>
          <t>Australia</t>
        </is>
      </c>
      <c r="E26" s="4" t="inlineStr">
        <is>
          <t>Mar-19</t>
        </is>
      </c>
      <c r="F26" s="4" t="inlineStr">
        <is>
          <t>Not Disclosed</t>
        </is>
      </c>
      <c r="G26" s="5" t="n">
        <v>2.8</v>
      </c>
      <c r="H26" s="4" t="inlineStr">
        <is>
          <t>Not Disclosed</t>
        </is>
      </c>
      <c r="I26" s="7" t="inlineStr">
        <is>
          <t>https://www.businessnewsaustralia.com/articles/steve-scanlan-sells-remaining-stake-in-recon-group.html</t>
        </is>
      </c>
    </row>
    <row r="27">
      <c r="A27" s="2" t="inlineStr">
        <is>
          <t>Victorian Nurse Specialists Pty Ltd</t>
        </is>
      </c>
      <c r="B27" s="2" t="inlineStr">
        <is>
          <t>People Infrastructure Ltd (nka: Peoplein Limited)</t>
        </is>
      </c>
      <c r="C27" s="3" t="n">
        <v>1</v>
      </c>
      <c r="D27" s="4" t="inlineStr">
        <is>
          <t>Australia</t>
        </is>
      </c>
      <c r="E27" s="4" t="inlineStr">
        <is>
          <t>Mar-19</t>
        </is>
      </c>
      <c r="F27" s="4" t="inlineStr">
        <is>
          <t>Not Disclosed</t>
        </is>
      </c>
      <c r="G27" s="5" t="n">
        <v>2.5</v>
      </c>
      <c r="H27" s="4" t="inlineStr">
        <is>
          <t>Not Disclosed</t>
        </is>
      </c>
      <c r="I27" s="7" t="inlineStr">
        <is>
          <t>https://www.finnewsnetwork.com.au/archives/finance_news_network222179.html</t>
        </is>
      </c>
    </row>
    <row r="28">
      <c r="A28" s="2" t="inlineStr">
        <is>
          <t>Network Nursing Agency Pty Ltd / Australian Healthcare Academy Pty Ltd</t>
        </is>
      </c>
      <c r="B28" s="2" t="inlineStr">
        <is>
          <t>People Infrastructure Ltd (nka: Peoplein Limited)</t>
        </is>
      </c>
      <c r="C28" s="3" t="n">
        <v>1</v>
      </c>
      <c r="D28" s="4" t="inlineStr">
        <is>
          <t>Australia</t>
        </is>
      </c>
      <c r="E28" s="4" t="inlineStr">
        <is>
          <t>Aug-18</t>
        </is>
      </c>
      <c r="F28" s="5" t="n">
        <v>2.65</v>
      </c>
      <c r="G28" s="5" t="n">
        <v>8</v>
      </c>
      <c r="H28" s="6">
        <f>G28/F28</f>
        <v/>
      </c>
      <c r="I28" s="7" t="inlineStr">
        <is>
          <t>https://www.staffingindustry.com/news/global-daily-news/australia-people-infrastructure-acquires-nursing-agency-business</t>
        </is>
      </c>
    </row>
    <row r="29">
      <c r="A29" s="2" t="inlineStr">
        <is>
          <t>50% Stake in Recon Solutions Pty Ltd and 50% Stake in Recon Technology Solutions</t>
        </is>
      </c>
      <c r="B29" s="2" t="inlineStr">
        <is>
          <t>People Infrastructure Ltd (nka: Peoplein Limited)</t>
        </is>
      </c>
      <c r="C29" s="3" t="n">
        <v>1</v>
      </c>
      <c r="D29" s="4" t="inlineStr">
        <is>
          <t>Australia</t>
        </is>
      </c>
      <c r="E29" s="4" t="inlineStr">
        <is>
          <t>Jan-18</t>
        </is>
      </c>
      <c r="F29" s="5" t="n">
        <v>0.8</v>
      </c>
      <c r="G29" s="5" t="n">
        <v>2.8</v>
      </c>
      <c r="H29" s="6">
        <f>G29/F29</f>
        <v/>
      </c>
      <c r="I29" s="7" t="inlineStr">
        <is>
          <t>https://www.proactiveinvestors.com.au/companies/news/189851/people-infrastructure-s-acquisition-will-drive-revenue-higher-189851.html</t>
        </is>
      </c>
    </row>
    <row r="30">
      <c r="A30" s="2" t="inlineStr">
        <is>
          <t>AWX Pty Ltd</t>
        </is>
      </c>
      <c r="B30" s="2" t="inlineStr">
        <is>
          <t>People Infrastructure Pty Ltd (nka: Peoplein Limited)</t>
        </is>
      </c>
      <c r="C30" s="3" t="n">
        <v>1</v>
      </c>
      <c r="D30" s="4" t="inlineStr">
        <is>
          <t>Australia</t>
        </is>
      </c>
      <c r="E30" s="4" t="inlineStr">
        <is>
          <t>Oct-16</t>
        </is>
      </c>
      <c r="F30" s="4" t="inlineStr">
        <is>
          <t>Not Disclosed</t>
        </is>
      </c>
      <c r="G30" s="5" t="n">
        <v>18.4</v>
      </c>
      <c r="H30" s="4" t="inlineStr">
        <is>
          <t>Not Disclosed</t>
        </is>
      </c>
      <c r="I30" s="7" t="inlineStr">
        <is>
          <t>https://www.marketscreener.com/quote/stock/PEOPLEIN-LIMITED-38467017/news/People-Infrastructure-Ltd-acquired-AWX-Pty-Ltd-for-AUD-18-4-million-35119752/</t>
        </is>
      </c>
    </row>
    <row r="32">
      <c r="A32" s="8" t="inlineStr">
        <is>
          <t>Summary Statistics</t>
        </is>
      </c>
    </row>
    <row r="33">
      <c r="G33" s="9" t="inlineStr">
        <is>
          <t>Mean EV/EBITDA:</t>
        </is>
      </c>
      <c r="H33" s="10">
        <f>AVERAGE(H2:H30)</f>
        <v/>
      </c>
    </row>
    <row r="34">
      <c r="G34" s="9" t="inlineStr">
        <is>
          <t>Median EV/EBITDA:</t>
        </is>
      </c>
      <c r="H34" s="10">
        <f>MEDIAN(H2:H30)</f>
        <v/>
      </c>
    </row>
    <row r="36">
      <c r="A36" s="11" t="inlineStr">
        <is>
          <t>Notes:</t>
        </is>
      </c>
    </row>
    <row r="37">
      <c r="A37" s="12" t="inlineStr">
        <is>
          <t>1. All figures in AUD millions unless otherwise stated.</t>
        </is>
      </c>
    </row>
    <row r="38">
      <c r="A38" s="12" t="inlineStr">
        <is>
          <t>2. Infrawork Holdings: NZD-denominated deal (NZD 56m total / NZD 24m upfront). AUD figures approximate at ~A$22m upfront EV / A$4.6m EBITDA. Multiple of 4.8x is on upfront basis. Source: PeopleIN H1 FY26 earnings call.</t>
        </is>
      </c>
    </row>
    <row r="39">
      <c r="A39" s="12" t="inlineStr">
        <is>
          <t>3. First Choice Care/Edmen (Dec-25): PeopleIN stated sale at '6.2 times FY25 earnings'. Exact earnings metric (EBITDA vs EBITA vs NPAT) not specified.</t>
        </is>
      </c>
    </row>
    <row r="40">
      <c r="A40" s="12" t="inlineStr">
        <is>
          <t>4. Techforce Personnel (Dec-25): Divestment by PeopleIN for A$23.5m (79.3% stake). No EBITDA or multiple publicly disclosed.</t>
        </is>
      </c>
    </row>
    <row r="41">
      <c r="A41" s="12" t="inlineStr">
        <is>
          <t>5. APM Human Services: EV implied from equity value (~A$1.33bn at $1.45/share) + net debt (~A$800m). FY24 underlying EBITDA of A$281m.</t>
        </is>
      </c>
    </row>
    <row r="42">
      <c r="A42" s="12" t="inlineStr">
        <is>
          <t>6. Owen Pacific Workforce: Consideration range A$14.2-15.9m based on FY23 EBITDA outcome (A$4.1-5.0m). Mid-point used.</t>
        </is>
      </c>
    </row>
    <row r="43">
      <c r="A43" s="12" t="inlineStr">
        <is>
          <t>7. Linc Personnel: A$4.2m for 75% stake; implied 100% EV ~A$5.6m. Normalised FY22 EBITDA of A$1.4m.</t>
        </is>
      </c>
    </row>
    <row r="44">
      <c r="A44" s="12" t="inlineStr">
        <is>
          <t>8. FIP Group: A$45m upfront (A$70m max incl. earnout). FY23 pro forma EBITDA A$9.5m. Multiple shown is on upfront basis.</t>
        </is>
      </c>
    </row>
    <row r="45">
      <c r="A45" s="12" t="inlineStr">
        <is>
          <t>9. Perigon Group: A$16m upfront (A$26.8m max incl. earnout). FY23E EBITDA A$4.3m. Multiple shown is on upfront basis.</t>
        </is>
      </c>
    </row>
    <row r="46">
      <c r="A46" s="12" t="inlineStr">
        <is>
          <t>10. Clustera Sverige: SEK 100m (~A$15m). FY22 adjusted forecast EBITDA SEK 12m (~A$2m).</t>
        </is>
      </c>
    </row>
    <row r="47">
      <c r="A47" s="12" t="inlineStr">
        <is>
          <t>11. GMT Group: Financial terms not publicly disclosed; described as immaterial to FY21 earnings.</t>
        </is>
      </c>
    </row>
    <row r="48">
      <c r="A48" s="12" t="inlineStr">
        <is>
          <t>12. Inverse Group: Max consideration A$1.5m; structured on revenue milestones, not EBITDA.</t>
        </is>
      </c>
    </row>
    <row r="49">
      <c r="A49" s="12" t="inlineStr">
        <is>
          <t>13. Vision Surveys &amp; Techforce Personnel (Jun/Jul-21): Combined FY22E EBITDA of A$5.8m disclosed; individual EBITDA not separately available.</t>
        </is>
      </c>
    </row>
    <row r="50">
      <c r="A50" s="12" t="inlineStr">
        <is>
          <t>14. Oncontractor: All-scrip deal (corporate restructuring); no EV/EBITDA disclosed.</t>
        </is>
      </c>
    </row>
    <row r="51">
      <c r="A51" s="12" t="inlineStr">
        <is>
          <t>15. ECT4Health: Small asset acquisition; financial terms not considered material for disclosure.</t>
        </is>
      </c>
    </row>
    <row r="52">
      <c r="A52" s="12" t="inlineStr">
        <is>
          <t>16. Ecareer/Illuminate: A$5.2m net of cash. Forward 12-month EBITDA A$1.3m.</t>
        </is>
      </c>
    </row>
    <row r="53">
      <c r="A53" s="12" t="inlineStr">
        <is>
          <t>17. The Instruction Company: Financial terms not publicly disclosed.</t>
        </is>
      </c>
    </row>
    <row r="54">
      <c r="A54" s="12" t="inlineStr">
        <is>
          <t>18. Serendipity (WA) / APM: 55% stake acquired by MDP from Quadrant PE. EV ~A$1.6bn, FY20 EBITDA A$148.4m. Large diversified human services platform, not pure staffing.</t>
        </is>
      </c>
    </row>
    <row r="55">
      <c r="A55" s="12" t="inlineStr">
        <is>
          <t>19. CCL Group: 80% stake; implied 100% EV ~A$14m. Normalised FY19 EBITDA A$4.1m.</t>
        </is>
      </c>
    </row>
    <row r="56">
      <c r="A56" s="12" t="inlineStr">
        <is>
          <t>20. First Choice Care (Jul-19) &amp; Carestaff (Jun-19): Acquired together for combined A$16.8m / combined expected EBITDA A$3.4m (~4.9x combined). Individual splits not disclosed.</t>
        </is>
      </c>
    </row>
    <row r="57">
      <c r="A57" s="12" t="inlineStr">
        <is>
          <t>21. Halcyon Knights: A$13.5m upfront (A$21.75m max incl. earnout). FY20E EBITDA A$3.9m. Multiple shown is on upfront basis.</t>
        </is>
      </c>
    </row>
    <row r="58">
      <c r="A58" s="12" t="inlineStr">
        <is>
          <t>22. Network Nursing Agency: A$8.0m upfront (A$9.1m max). FY19 earn-out threshold EBITDA ~A$2.65m used as proxy.</t>
        </is>
      </c>
    </row>
    <row r="59">
      <c r="A59" s="12" t="inlineStr">
        <is>
          <t>23. 50% Recon Solutions/Recon Technology (Jan-18): A$2.8m for 50% stake. PPE's 50% share EBITDA contribution A$0.8m.</t>
        </is>
      </c>
    </row>
    <row r="60">
      <c r="A60" s="12" t="inlineStr">
        <is>
          <t>24. AWX: Pre-IPO acquisition for A$18.4m (A$16.6m cash + A$1.8m earnout). EBITDA not publicly available.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2026-03-31T05:23:28Z</dcterms:created>
  <dcterms:modified xsi:type="dcterms:W3CDTF">2026-03-31T05:23:28Z</dcterms:modified>
</cp:coreProperties>
</file>