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-EBITDA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x&quot;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</font>
    <font>
      <b val="1"/>
      <i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vestors.sgfleet.com/DownloadFile.axd?file=/Report/ComNews/20241204/02890088.pdf" TargetMode="External" Id="rId1" /><Relationship Type="http://schemas.openxmlformats.org/officeDocument/2006/relationships/hyperlink" Target="https://www.listcorp.com/asx/acf/acrow-limited/news/acquisition-of-benchmark-scaffolding-3001857.html" TargetMode="External" Id="rId2" /><Relationship Type="http://schemas.openxmlformats.org/officeDocument/2006/relationships/hyperlink" Target="https://im-mining.com/2023/12/19/macmahon-acquires-key-mining-contracts-from-emecos-pit-n-portal/" TargetMode="External" Id="rId3" /><Relationship Type="http://schemas.openxmlformats.org/officeDocument/2006/relationships/hyperlink" Target="https://www.kapitales.com.au/news/latest/acrow-acquires-mi-scaffold-to-enhance-industrial-services" TargetMode="External" Id="rId4" /><Relationship Type="http://schemas.openxmlformats.org/officeDocument/2006/relationships/hyperlink" Target="https://www.marketscreener.com/quote/stock/AVADA-GROUP-LIMITED-129389843/news/AVADA-Group-Limited-entered-in-a-binding-agreement-to-acquire-Sta-Traffic-Management-Pty-Ltd-fir-AUD-44687162/" TargetMode="External" Id="rId5" /><Relationship Type="http://schemas.openxmlformats.org/officeDocument/2006/relationships/hyperlink" Target="https://newsnreleases.com/2022/08/26/avada-group-has-acquired-business-and-assets-of-construct-traffic/" TargetMode="External" Id="rId6" /><Relationship Type="http://schemas.openxmlformats.org/officeDocument/2006/relationships/hyperlink" Target="https://stockhead.com.au/resources/ssh-groups-latest-acquisition-to-boost-earnings-add-third-revenue-arm/" TargetMode="External" Id="rId7" /><Relationship Type="http://schemas.openxmlformats.org/officeDocument/2006/relationships/hyperlink" Target="https://im-mining.com/2020/01/29/emeco-go-underground-pit-n-portal-acquisition/" TargetMode="External" Id="rId8" /><Relationship Type="http://schemas.openxmlformats.org/officeDocument/2006/relationships/hyperlink" Target="https://www.insideconstruction.com.au/section/industry-news/acrow-formwork-and-construction-makes-21-25m-buyout/" TargetMode="External" Id="rId9" /><Relationship Type="http://schemas.openxmlformats.org/officeDocument/2006/relationships/hyperlink" Target="https://im-mining.com/2018/05/01/44159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50" customWidth="1" min="1" max="1"/>
    <col width="55" customWidth="1" min="2" max="2"/>
    <col width="15" customWidth="1" min="3" max="3"/>
    <col width="18" customWidth="1" min="4" max="4"/>
    <col width="16" customWidth="1" min="5" max="5"/>
    <col width="16" customWidth="1" min="6" max="6"/>
    <col width="20" customWidth="1" min="7" max="7"/>
    <col width="18" customWidth="1" min="8" max="8"/>
    <col width="85" customWidth="1" min="9" max="9"/>
  </cols>
  <sheetData>
    <row r="1" ht="30" customHeight="1">
      <c r="A1" s="1" t="inlineStr">
        <is>
          <t>Target</t>
        </is>
      </c>
      <c r="B1" s="1" t="inlineStr">
        <is>
          <t>Acquirer</t>
        </is>
      </c>
      <c r="C1" s="1" t="inlineStr">
        <is>
          <t>Percentage Acquired (%)</t>
        </is>
      </c>
      <c r="D1" s="1" t="inlineStr">
        <is>
          <t>Country</t>
        </is>
      </c>
      <c r="E1" s="1" t="inlineStr">
        <is>
          <t>Completion Date</t>
        </is>
      </c>
      <c r="F1" s="1" t="inlineStr">
        <is>
          <t>EBITDA (A$m)</t>
        </is>
      </c>
      <c r="G1" s="1" t="inlineStr">
        <is>
          <t>Enterprise Value (A$m)</t>
        </is>
      </c>
      <c r="H1" s="1" t="inlineStr">
        <is>
          <t>EV/EBITDA Multiple</t>
        </is>
      </c>
      <c r="I1" s="1" t="inlineStr">
        <is>
          <t>Source</t>
        </is>
      </c>
    </row>
    <row r="2">
      <c r="A2" s="2" t="inlineStr">
        <is>
          <t>SG Fleet Group Limited</t>
        </is>
      </c>
      <c r="B2" s="2" t="inlineStr">
        <is>
          <t>Pacific Equity Partners Pty Limited</t>
        </is>
      </c>
      <c r="C2" s="3" t="n">
        <v>1</v>
      </c>
      <c r="D2" s="4" t="inlineStr">
        <is>
          <t>Australia</t>
        </is>
      </c>
      <c r="E2" s="4" t="inlineStr">
        <is>
          <t>Apr-25</t>
        </is>
      </c>
      <c r="F2" s="5" t="n">
        <v>171</v>
      </c>
      <c r="G2" s="5" t="n">
        <v>1400</v>
      </c>
      <c r="H2" s="6">
        <f>G2/F2</f>
        <v/>
      </c>
      <c r="I2" s="7" t="inlineStr">
        <is>
          <t>https://investors.sgfleet.com/DownloadFile.axd?file=/Report/ComNews/20241204/02890088.pdf</t>
        </is>
      </c>
    </row>
    <row r="3">
      <c r="A3" s="2" t="inlineStr">
        <is>
          <t>Benchmark Scaffolding Ltd.</t>
        </is>
      </c>
      <c r="B3" s="2" t="inlineStr">
        <is>
          <t>Acrow Limited</t>
        </is>
      </c>
      <c r="C3" s="3" t="n">
        <v>1</v>
      </c>
      <c r="D3" s="4" t="inlineStr">
        <is>
          <t>United Kingdom</t>
        </is>
      </c>
      <c r="E3" s="4" t="inlineStr">
        <is>
          <t>Mar-24</t>
        </is>
      </c>
      <c r="F3" s="5" t="n">
        <v>2.4</v>
      </c>
      <c r="G3" s="5" t="n">
        <v>9</v>
      </c>
      <c r="H3" s="6">
        <f>G3/F3</f>
        <v/>
      </c>
      <c r="I3" s="7" t="inlineStr">
        <is>
          <t>https://www.listcorp.com/asx/acf/acrow-limited/news/acquisition-of-benchmark-scaffolding-3001857.html</t>
        </is>
      </c>
    </row>
    <row r="4">
      <c r="A4" s="2" t="inlineStr">
        <is>
          <t>Pit N Portal Mining Services Pty Ltd</t>
        </is>
      </c>
      <c r="B4" s="2" t="inlineStr">
        <is>
          <t>Macmahon Holdings Limited</t>
        </is>
      </c>
      <c r="C4" s="3" t="n">
        <v>1</v>
      </c>
      <c r="D4" s="4" t="inlineStr">
        <is>
          <t>Australia</t>
        </is>
      </c>
      <c r="E4" s="4" t="inlineStr">
        <is>
          <t>Feb-24</t>
        </is>
      </c>
      <c r="F4" s="4" t="inlineStr">
        <is>
          <t>Not Disclosed</t>
        </is>
      </c>
      <c r="G4" s="5" t="n">
        <v>10</v>
      </c>
      <c r="H4" s="4" t="inlineStr">
        <is>
          <t>Not Disclosed</t>
        </is>
      </c>
      <c r="I4" s="7" t="inlineStr">
        <is>
          <t>https://im-mining.com/2023/12/19/macmahon-acquires-key-mining-contracts-from-emecos-pit-n-portal/</t>
        </is>
      </c>
    </row>
    <row r="5">
      <c r="A5" s="2" t="inlineStr">
        <is>
          <t>MI Scaffold Pty Ltd</t>
        </is>
      </c>
      <c r="B5" s="2" t="inlineStr">
        <is>
          <t>Acrow Formwork and Construction Services Limited (nka: Acrow Limited)</t>
        </is>
      </c>
      <c r="C5" s="3" t="n">
        <v>1</v>
      </c>
      <c r="D5" s="4" t="inlineStr">
        <is>
          <t>Australia</t>
        </is>
      </c>
      <c r="E5" s="4" t="inlineStr">
        <is>
          <t>Nov-23</t>
        </is>
      </c>
      <c r="F5" s="5" t="n">
        <v>6.6</v>
      </c>
      <c r="G5" s="5" t="n">
        <v>36.4</v>
      </c>
      <c r="H5" s="6">
        <f>G5/F5</f>
        <v/>
      </c>
      <c r="I5" s="7" t="inlineStr">
        <is>
          <t>https://www.kapitales.com.au/news/latest/acrow-acquires-mi-scaffold-to-enhance-industrial-services</t>
        </is>
      </c>
    </row>
    <row r="6">
      <c r="A6" s="2" t="inlineStr">
        <is>
          <t>STA Traffic Management Pty Ltd</t>
        </is>
      </c>
      <c r="B6" s="2" t="inlineStr">
        <is>
          <t>AVADA Group Limited</t>
        </is>
      </c>
      <c r="C6" s="3" t="n">
        <v>1</v>
      </c>
      <c r="D6" s="4" t="inlineStr">
        <is>
          <t>Australia</t>
        </is>
      </c>
      <c r="E6" s="4" t="inlineStr">
        <is>
          <t>Oct-23</t>
        </is>
      </c>
      <c r="F6" s="4" t="inlineStr">
        <is>
          <t>Not Disclosed</t>
        </is>
      </c>
      <c r="G6" s="5" t="n">
        <v>8.5</v>
      </c>
      <c r="H6" s="4" t="inlineStr">
        <is>
          <t>Not Disclosed</t>
        </is>
      </c>
      <c r="I6" s="7" t="inlineStr">
        <is>
          <t>https://www.marketscreener.com/quote/stock/AVADA-GROUP-LIMITED-129389843/news/AVADA-Group-Limited-entered-in-a-binding-agreement-to-acquire-Sta-Traffic-Management-Pty-Ltd-fir-AUD-44687162/</t>
        </is>
      </c>
    </row>
    <row r="7">
      <c r="A7" s="2" t="inlineStr">
        <is>
          <t>Business and assets of Construct Traffic Pty Ltd</t>
        </is>
      </c>
      <c r="B7" s="2" t="inlineStr">
        <is>
          <t>AVADA Group Limited</t>
        </is>
      </c>
      <c r="C7" s="3" t="n">
        <v>1</v>
      </c>
      <c r="D7" s="4" t="inlineStr">
        <is>
          <t>Australia</t>
        </is>
      </c>
      <c r="E7" s="4" t="inlineStr">
        <is>
          <t>Aug-22</t>
        </is>
      </c>
      <c r="F7" s="5" t="n">
        <v>5</v>
      </c>
      <c r="G7" s="5" t="n">
        <v>23.5</v>
      </c>
      <c r="H7" s="6">
        <f>G7/F7</f>
        <v/>
      </c>
      <c r="I7" s="7" t="inlineStr">
        <is>
          <t>https://newsnreleases.com/2022/08/26/avada-group-has-acquired-business-and-assets-of-construct-traffic/</t>
        </is>
      </c>
    </row>
    <row r="8">
      <c r="A8" s="2" t="inlineStr">
        <is>
          <t>Karratha Machinery Hire</t>
        </is>
      </c>
      <c r="B8" s="2" t="inlineStr">
        <is>
          <t>SSH Group Limited</t>
        </is>
      </c>
      <c r="C8" s="3" t="n">
        <v>1</v>
      </c>
      <c r="D8" s="4" t="inlineStr">
        <is>
          <t>Australia</t>
        </is>
      </c>
      <c r="E8" s="4" t="inlineStr">
        <is>
          <t>May-22</t>
        </is>
      </c>
      <c r="F8" s="5" t="n">
        <v>3.8</v>
      </c>
      <c r="G8" s="5" t="n">
        <v>15</v>
      </c>
      <c r="H8" s="6">
        <f>G8/F8</f>
        <v/>
      </c>
      <c r="I8" s="7" t="inlineStr">
        <is>
          <t>https://stockhead.com.au/resources/ssh-groups-latest-acquisition-to-boost-earnings-add-third-revenue-arm/</t>
        </is>
      </c>
    </row>
    <row r="9">
      <c r="A9" s="2" t="inlineStr">
        <is>
          <t>Pit N Portal Mining Services Pty Ltd / Pit N Portal Equipment Hire Pty Ltd</t>
        </is>
      </c>
      <c r="B9" s="2" t="inlineStr">
        <is>
          <t>Emeco Holdings Limited</t>
        </is>
      </c>
      <c r="C9" s="3" t="n">
        <v>1</v>
      </c>
      <c r="D9" s="4" t="inlineStr">
        <is>
          <t>Australia</t>
        </is>
      </c>
      <c r="E9" s="4" t="inlineStr">
        <is>
          <t>Feb-20</t>
        </is>
      </c>
      <c r="F9" s="5" t="n">
        <v>20</v>
      </c>
      <c r="G9" s="5" t="n">
        <v>72</v>
      </c>
      <c r="H9" s="6">
        <f>G9/F9</f>
        <v/>
      </c>
      <c r="I9" s="7" t="inlineStr">
        <is>
          <t>https://im-mining.com/2020/01/29/emeco-go-underground-pit-n-portal-acquisition/</t>
        </is>
      </c>
    </row>
    <row r="10">
      <c r="A10" s="2" t="inlineStr">
        <is>
          <t>Uni-Span Australia Pty Limited</t>
        </is>
      </c>
      <c r="B10" s="2" t="inlineStr">
        <is>
          <t>Acrow Formwork and Construction Services Limited (nka: Acrow Limited)</t>
        </is>
      </c>
      <c r="C10" s="3" t="n">
        <v>1</v>
      </c>
      <c r="D10" s="4" t="inlineStr">
        <is>
          <t>Australia</t>
        </is>
      </c>
      <c r="E10" s="4" t="inlineStr">
        <is>
          <t>Oct-19</t>
        </is>
      </c>
      <c r="F10" s="5" t="n">
        <v>4.83</v>
      </c>
      <c r="G10" s="5" t="n">
        <v>21.25</v>
      </c>
      <c r="H10" s="6">
        <f>G10/F10</f>
        <v/>
      </c>
      <c r="I10" s="7" t="inlineStr">
        <is>
          <t>https://www.insideconstruction.com.au/section/industry-news/acrow-formwork-and-construction-makes-21-25m-buyout/</t>
        </is>
      </c>
    </row>
    <row r="11">
      <c r="A11" s="2" t="inlineStr">
        <is>
          <t>Matilda Equipment Holdings Pty Ltd</t>
        </is>
      </c>
      <c r="B11" s="2" t="inlineStr">
        <is>
          <t>Emeco Holdings Limited</t>
        </is>
      </c>
      <c r="C11" s="3" t="n">
        <v>1</v>
      </c>
      <c r="D11" s="4" t="inlineStr">
        <is>
          <t>Australia</t>
        </is>
      </c>
      <c r="E11" s="4" t="inlineStr">
        <is>
          <t>Jul-18</t>
        </is>
      </c>
      <c r="F11" s="5" t="n">
        <v>24.2</v>
      </c>
      <c r="G11" s="5" t="n">
        <v>80</v>
      </c>
      <c r="H11" s="6">
        <f>G11/F11</f>
        <v/>
      </c>
      <c r="I11" s="7" t="inlineStr">
        <is>
          <t>https://im-mining.com/2018/05/01/44159/</t>
        </is>
      </c>
    </row>
    <row r="13">
      <c r="A13" s="8" t="inlineStr">
        <is>
          <t>Summary Statistics</t>
        </is>
      </c>
    </row>
    <row r="14">
      <c r="G14" s="9" t="inlineStr">
        <is>
          <t>Mean EV/EBITDA:</t>
        </is>
      </c>
      <c r="H14" s="10">
        <f>AVERAGE(H2:H11)</f>
        <v/>
      </c>
    </row>
    <row r="15">
      <c r="G15" s="9" t="inlineStr">
        <is>
          <t>Median EV/EBITDA:</t>
        </is>
      </c>
      <c r="H15" s="10">
        <f>MEDIAN(H2:H11)</f>
        <v/>
      </c>
    </row>
    <row r="17">
      <c r="A17" s="11" t="inlineStr">
        <is>
          <t>Notes:</t>
        </is>
      </c>
    </row>
    <row r="18">
      <c r="A18" s="12" t="inlineStr">
        <is>
          <t>1. All figures in AUD millions unless otherwise stated.</t>
        </is>
      </c>
    </row>
    <row r="19">
      <c r="A19" s="12" t="inlineStr">
        <is>
          <t>2. SG Fleet EBITDA = FY24 Operating EBITDA of A$171m as disclosed in Scheme Implementation Deed.</t>
        </is>
      </c>
    </row>
    <row r="20">
      <c r="A20" s="12" t="inlineStr">
        <is>
          <t>3. Benchmark Scaffolding EBITDA = annualised EBITDA of A$2.4m; EV = base consideration of A$9m (excl. earn-outs up to A$1m).</t>
        </is>
      </c>
    </row>
    <row r="21">
      <c r="A21" s="12" t="inlineStr">
        <is>
          <t>4. Pit N Portal / Macmahon (2024): Structured as asset/contract transfer with equipment swap; no EBITDA multiple publicly disclosed.</t>
        </is>
      </c>
    </row>
    <row r="22">
      <c r="A22" s="12" t="inlineStr">
        <is>
          <t>5. MI Scaffold: Upfront consideration ~4.0x EV/EBITDA (A$26.4m); total EV incl. deferred = A$36.4m. EBITDA implied from stated 4.0x on upfront.</t>
        </is>
      </c>
    </row>
    <row r="23">
      <c r="A23" s="12" t="inlineStr">
        <is>
          <t>6. STA Traffic Management: EBITDA not publicly disclosed; EV of A$8.5m from ASX announcement.</t>
        </is>
      </c>
    </row>
    <row r="24">
      <c r="A24" s="12" t="inlineStr">
        <is>
          <t>7. Construct Traffic: FY22 sustainable EBITDA ~A$5m, EV A$23.5m (incl. upfront A$17.6m + earn-out capped at A$5.4m + vehicles).</t>
        </is>
      </c>
    </row>
    <row r="25">
      <c r="A25" s="12" t="inlineStr">
        <is>
          <t>8. Karratha Machinery Hire: FY21 unaudited EBITDA ~A$3.8m, total consideration A$15m.</t>
        </is>
      </c>
    </row>
    <row r="26">
      <c r="A26" s="12" t="inlineStr">
        <is>
          <t>9. Pit N Portal / Emeco (2020): FY19 Operating EBITDA A$20m (normalised), EV A$72m.</t>
        </is>
      </c>
    </row>
    <row r="27">
      <c r="A27" s="12" t="inlineStr">
        <is>
          <t>10. Uni-Span: FY19 normalised EBITDA implied ~A$4.83m from stated 4.4x multiple on A$21.25m consideration.</t>
        </is>
      </c>
    </row>
    <row r="28">
      <c r="A28" s="12" t="inlineStr">
        <is>
          <t>11. Matilda Equipment: Annualised March quarter EBITDA implied ~A$24.2m from stated 3.3x multiple on A$80m EV.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2026-03-31T05:10:40Z</dcterms:created>
  <dcterms:modified xsi:type="dcterms:W3CDTF">2026-03-31T05:10:40Z</dcterms:modified>
</cp:coreProperties>
</file>